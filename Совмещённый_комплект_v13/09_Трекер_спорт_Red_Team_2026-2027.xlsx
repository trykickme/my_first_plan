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8fefc067238498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Недели" sheetId="1" r:id="R0174d04fb5c145bd"/>
    <x:sheet xmlns:r="http://schemas.openxmlformats.org/officeDocument/2006/relationships" name="Спорт" sheetId="2" r:id="R3d53ede5ba5e46b2"/>
    <x:sheet xmlns:r="http://schemas.openxmlformats.org/officeDocument/2006/relationships" name="Red Team" sheetId="3" r:id="Rb24fa0689bc44fce"/>
    <x:sheet xmlns:r="http://schemas.openxmlformats.org/officeDocument/2006/relationships" name="Факты" sheetId="4" r:id="Rec13de256115474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yyyy-mm-dd"/>
    <x:numFmt numFmtId="201" formatCode="0.##"/>
    <x:numFmt numFmtId="202" formatCode="0.00"/>
    <x:numFmt numFmtId="203" formatCode="0"/>
  </x:numFmts>
  <x:fonts count="5">
    <x:font>
      <x:sz val="11"/>
      <x:name val="Carlito"/>
    </x:font>
    <x:font>
      <x:sz val="10"/>
      <x:color rgb="FF17242E"/>
      <x:name val="Arial"/>
    </x:font>
    <x:font>
      <x:b/>
      <x:sz val="14"/>
      <x:color rgb="FF000000"/>
      <x:name val="Arial"/>
    </x:font>
    <x:font>
      <x:b/>
      <x:sz val="10"/>
      <x:color rgb="FFFFFFFF"/>
      <x:name val="Arial"/>
    </x:font>
    <x:font>
      <x:sz val="10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23445A"/>
      </x:patternFill>
    </x:fill>
    <x:fill>
      <x:patternFill patternType="solid">
        <x:fgColor rgb="FFFFF5CF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20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1" fillId="2" borderId="0" xfId="0" applyNumberFormat="1" applyFont="1" applyFill="1" applyBorder="1"/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wrapText="1"/>
    </x:xf>
    <x:xf numFmtId="0" fontId="3" fillId="2" borderId="0" xfId="0" applyNumberFormat="1" applyFont="1" applyFill="1" applyBorder="1" applyAlignment="1">
      <x:alignment horizontal="center" wrapText="1"/>
    </x:xf>
    <x:xf numFmtId="0" fontId="3" fillId="2" borderId="0" xfId="0" applyNumberFormat="1" applyFont="1" applyFill="1" applyBorder="1" applyAlignment="1">
      <x:alignment horizontal="center" vertical="center" wrapText="1"/>
    </x:xf>
    <x:xf numFmtId="0" fontId="1" fillId="0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vertical="top" wrapText="1"/>
    </x:xf>
    <x:xf numFmtId="200" fontId="1" fillId="0" borderId="0" xfId="0" applyNumberFormat="1" applyFont="1" applyFill="1" applyBorder="1" applyAlignment="1">
      <x:alignment vertical="top" wrapText="1"/>
    </x:xf>
    <x:xf numFmtId="201" fontId="1" fillId="0" borderId="0" xfId="0" applyNumberFormat="1" applyFont="1" applyFill="1" applyBorder="1" applyAlignment="1">
      <x:alignment vertical="top" wrapText="1"/>
    </x:xf>
    <x:xf numFmtId="0" fontId="1" fillId="3" borderId="0" xfId="0" applyNumberFormat="1" applyFont="1" applyFill="1" applyBorder="1" applyAlignment="1">
      <x:alignment vertical="top" wrapText="1"/>
    </x:xf>
    <x:xf numFmtId="201" fontId="1" fillId="3" borderId="0" xfId="0" applyNumberFormat="1" applyFont="1" applyFill="1" applyBorder="1" applyAlignment="1">
      <x:alignment vertical="top" wrapText="1"/>
    </x:xf>
    <x:xf numFmtId="200" fontId="1" fillId="3" borderId="0" xfId="0" applyNumberFormat="1" applyFont="1" applyFill="1" applyBorder="1" applyAlignment="1">
      <x:alignment vertical="top" wrapText="1"/>
    </x:xf>
    <x:xf numFmtId="202" fontId="1" fillId="0" borderId="0" xfId="0" applyNumberFormat="1" applyFont="1" applyFill="1" applyBorder="1" applyAlignment="1">
      <x:alignment vertical="top" wrapText="1"/>
    </x:xf>
    <x:xf numFmtId="203" fontId="1" fillId="0" borderId="0" xfId="0" applyNumberFormat="1" applyFont="1" applyFill="1" applyBorder="1" applyAlignment="1">
      <x:alignment vertical="top" wrapText="1"/>
    </x:xf>
    <x:xf numFmtId="0" fontId="4" fillId="0" borderId="0" xfId="0" applyNumberFormat="1" applyFont="1" applyFill="1" applyBorder="1"/>
    <x:xf numFmtId="0" fontId="4" fillId="0" borderId="0" xfId="0" applyNumberFormat="1" applyFont="1" applyFill="1" applyBorder="1" applyAlignment="1">
      <x:alignment wrapText="1"/>
    </x:xf>
    <x:xf numFmtId="0" fontId="4" fillId="0" borderId="0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e5053c8a72b4f37" /><Relationship Type="http://schemas.openxmlformats.org/officeDocument/2006/relationships/theme" Target="/xl/theme/theme1.xml" Id="R9d6df0eada1b4755" /><Relationship Type="http://schemas.openxmlformats.org/officeDocument/2006/relationships/sharedStrings" Target="/xl/sharedStrings.xml" Id="Rceda994a0c3a42bf" /><Relationship Type="http://schemas.openxmlformats.org/officeDocument/2006/relationships/worksheet" Target="/xl/worksheets/sheet1.xml" Id="R0174d04fb5c145bd" /><Relationship Type="http://schemas.openxmlformats.org/officeDocument/2006/relationships/worksheet" Target="/xl/worksheets/sheet2.xml" Id="R3d53ede5ba5e46b2" /><Relationship Type="http://schemas.openxmlformats.org/officeDocument/2006/relationships/worksheet" Target="/xl/worksheets/sheet3.xml" Id="Rb24fa0689bc44fce" /><Relationship Type="http://schemas.openxmlformats.org/officeDocument/2006/relationships/worksheet" Target="/xl/worksheets/sheet4.xml" Id="Rec13de2561154744" /></Relationships>
</file>

<file path=xl/tables/table1.xml><?xml version="1.0" encoding="utf-8"?>
<x:table xmlns:x="http://schemas.openxmlformats.org/spreadsheetml/2006/main" id="1" name="Weeks" displayName="Weeks" ref="A4:L48" headerRowCount="1" totalsRowCount="0" totalsRowShown="0">
  <x:autoFilter ref="A4:L48"/>
  <x:tableColumns count="12">
    <x:tableColumn id="1" name="Неделя"/>
    <x:tableColumn id="2" name="Начало"/>
    <x:tableColumn id="3" name="Конец"/>
    <x:tableColumn id="4" name="Направление"/>
    <x:tableColumn id="5" name="Бег план км"/>
    <x:tableColumn id="6" name="Бег факт км"/>
    <x:tableColumn id="7" name="Дней с фактом"/>
    <x:tableColumn id="8" name="Учебных дней"/>
    <x:tableColumn id="9" name="Дней с результатом"/>
    <x:tableColumn id="10" name="Зал план"/>
    <x:tableColumn id="11" name="Зал факт"/>
    <x:tableColumn id="12" name="Результат недели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SportDays" displayName="SportDays" ref="A4:P307" headerRowCount="1" totalsRowCount="0" totalsRowShown="0">
  <x:autoFilter ref="A4:P307"/>
  <x:tableColumns count="16">
    <x:tableColumn id="1" name="Дата"/>
    <x:tableColumn id="2" name="День"/>
    <x:tableColumn id="3" name="Неделя"/>
    <x:tableColumn id="4" name="План км"/>
    <x:tableColumn id="5" name="Бег и восстановление"/>
    <x:tableColumn id="6" name="Силовая задача"/>
    <x:tableColumn id="7" name="Статус бега"/>
    <x:tableColumn id="8" name="Факт км"/>
    <x:tableColumn id="9" name="RPE"/>
    <x:tableColumn id="10" name="Боль до"/>
    <x:tableColumn id="11" name="Боль после"/>
    <x:tableColumn id="12" name="Боль утром"/>
    <x:tableColumn id="13" name="Отёк"/>
    <x:tableColumn id="14" name="Восстановление"/>
    <x:tableColumn id="15" name="Факт или ссылка"/>
    <x:tableColumn id="16" name="Силовая факт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RTDays" displayName="RTDays" ref="A4:T307" headerRowCount="1" totalsRowCount="0" totalsRowShown="0">
  <x:autoFilter ref="A4:T307"/>
  <x:tableColumns count="20">
    <x:tableColumn id="1" name="Дата"/>
    <x:tableColumn id="2" name="День"/>
    <x:tableColumn id="3" name="Неделя"/>
    <x:tableColumn id="4" name="Режим"/>
    <x:tableColumn id="5" name="Расширенная тема"/>
    <x:tableColumn id="6" name="Что изучать"/>
    <x:tableColumn id="7" name="Что сделать"/>
    <x:tableColumn id="8" name="Инструменты"/>
    <x:tableColumn id="9" name="Читать"/>
    <x:tableColumn id="10" name="Входные условия"/>
    <x:tableColumn id="11" name="Контрольный вопрос"/>
    <x:tableColumn id="12" name="Плановый результат"/>
    <x:tableColumn id="13" name="Статус"/>
    <x:tableColumn id="14" name="Факт или ссылка"/>
    <x:tableColumn id="15" name="Первый незавершённый шаг"/>
    <x:tableColumn id="16" name="Новая дата"/>
    <x:tableColumn id="17" name="Код материала"/>
    <x:tableColumn id="18" name="Повтор плюс 1"/>
    <x:tableColumn id="19" name="Повтор плюс 7"/>
    <x:tableColumn id="20" name="Повтор плюс 28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Facts" displayName="Facts" ref="A4:H6" headerRowCount="1" totalsRowCount="0" totalsRowShown="0">
  <x:autoFilter ref="A4:H6"/>
  <x:tableColumns count="8">
    <x:tableColumn id="1" name="Дата сессии"/>
    <x:tableColumn id="2" name="Км"/>
    <x:tableColumn id="3" name="Длительность факт мин"/>
    <x:tableColumn id="4" name="ЧСС средняя"/>
    <x:tableColumn id="5" name="ЧСС максимум"/>
    <x:tableColumn id="6" name="Темп факт"/>
    <x:tableColumn id="7" name="Сумма недели км"/>
    <x:tableColumn id="8" name="Источник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084b559928414775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423a3f10a9c74677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226eed3f045846b0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e16ca8f517b14808" /></Relationships>
</file>

<file path=xl/worksheets/sheet1.xml><?xml version="1.0" encoding="utf-8"?>
<x:worksheet xmlns:x="http://schemas.openxmlformats.org/spreadsheetml/2006/main">
  <x:sheetViews>
    <x:sheetView showGridLines="0" workbookViewId="0">
      <x:pane xSplit="3" ySplit="4" topLeftCell="D5" activePane="bottomRight" state="frozen"/>
    </x:sheetView>
  </x:sheetViews>
  <x:sheetFormatPr defaultRowHeight="15"/>
  <x:cols>
    <x:col min="1" max="1" width="9" hidden="0" customWidth="1"/>
    <x:col min="2" max="2" width="13" hidden="0" customWidth="1"/>
    <x:col min="3" max="3" width="13" hidden="0" customWidth="1"/>
    <x:col min="4" max="4" width="60" hidden="0" customWidth="1"/>
    <x:col min="5" max="5" width="13" hidden="0" customWidth="1"/>
    <x:col min="6" max="6" width="13" hidden="0" customWidth="1"/>
    <x:col min="7" max="7" width="14" hidden="0" customWidth="1"/>
    <x:col min="8" max="8" width="14" hidden="0" customWidth="1"/>
    <x:col min="9" max="9" width="17" hidden="0" customWidth="1"/>
    <x:col min="10" max="10" width="11" hidden="0" customWidth="1"/>
    <x:col min="11" max="11" width="11" hidden="0" customWidth="1"/>
    <x:col min="12" max="12" width="65" hidden="0" customWidth="1"/>
  </x:cols>
  <x:sheetData>
    <x:row r="1">
      <x:c r="A1" s="1"/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</x:row>
    <x:row r="2">
      <x:c r="A2" s="2" t="str">
        <x:v>Red Team и 100 км по неделям</x:v>
      </x:c>
      <x:c r="B2" s="1"/>
      <x:c r="C2" s="1"/>
      <x:c r="D2" s="1"/>
      <x:c r="E2" s="1"/>
      <x:c r="F2" s="1"/>
      <x:c r="G2" s="1"/>
      <x:c r="H2" s="1"/>
      <x:c r="I2" s="1"/>
      <x:c r="J2" s="1"/>
      <x:c r="K2" s="1"/>
      <x:c r="L2" s="1"/>
    </x:row>
    <x:row r="3">
      <x:c r="A3" s="1"/>
      <x:c r="B3" s="1"/>
      <x:c r="C3" s="1"/>
      <x:c r="D3" s="1"/>
      <x:c r="E3" s="1"/>
      <x:c r="F3" s="1"/>
      <x:c r="G3" s="1"/>
      <x:c r="H3" s="1"/>
      <x:c r="I3" s="1"/>
      <x:c r="J3" s="1"/>
      <x:c r="K3" s="1"/>
      <x:c r="L3" s="1"/>
    </x:row>
    <x:row r="4" ht="42" customHeight="1">
      <x:c r="A4" s="7" t="str">
        <x:v>Неделя</x:v>
      </x:c>
      <x:c r="B4" s="7" t="str">
        <x:v>Начало</x:v>
      </x:c>
      <x:c r="C4" s="7" t="str">
        <x:v>Конец</x:v>
      </x:c>
      <x:c r="D4" s="7" t="str">
        <x:v>Направление</x:v>
      </x:c>
      <x:c r="E4" s="7" t="str">
        <x:v>Бег план км</x:v>
      </x:c>
      <x:c r="F4" s="7" t="str">
        <x:v>Бег факт км</x:v>
      </x:c>
      <x:c r="G4" s="7" t="str">
        <x:v>Дней с фактом</x:v>
      </x:c>
      <x:c r="H4" s="7" t="str">
        <x:v>Учебных дней</x:v>
      </x:c>
      <x:c r="I4" s="7" t="str">
        <x:v>Дней с результатом</x:v>
      </x:c>
      <x:c r="J4" s="7" t="str">
        <x:v>Зал план</x:v>
      </x:c>
      <x:c r="K4" s="7" t="str">
        <x:v>Зал факт</x:v>
      </x:c>
      <x:c r="L4" s="7" t="str">
        <x:v>Результат недели</x:v>
      </x:c>
    </x:row>
    <x:row r="5" ht="15" hidden="0" customHeight="1">
      <x:c r="A5" s="9" t="n">
        <x:v>6</x:v>
      </x:c>
      <x:c r="B5" s="10" t="d">
        <x:v>2026-10-05T00:00:00.000Z</x:v>
      </x:c>
      <x:c r="C5" s="10" t="d">
        <x:v>2026-10-11T00:00:00.000Z</x:v>
      </x:c>
      <x:c r="D5" s="9" t="str">
        <x:v>Python байты и самостоятельный повтор Caesar</x:v>
      </x:c>
      <x:c r="E5" s="11" t="n">
        <x:f>SUMIFS('Спорт'!$D$5:$D$307,'Спорт'!$C$5:$C$307,A5)</x:f>
        <x:v>32</x:v>
      </x:c>
      <x:c r="F5" s="11" t="str">
        <x:f>IF(G5=0,"",SUMIFS('Спорт'!$H$5:$H$307,'Спорт'!$C$5:$C$307,A5))</x:f>
      </x:c>
      <x:c r="G5" s="9" t="n">
        <x:f>COUNTIFS('Спорт'!$C$5:$C$307,A5,'Спорт'!$H$5:$H$307,"&lt;&gt;")</x:f>
        <x:v>0</x:v>
      </x:c>
      <x:c r="H5" s="9" t="n">
        <x:f>COUNTIFS('Red Team'!$C$5:$C$307,A5,'Red Team'!$D$5:$D$307,"&lt;&gt;пауза")</x:f>
        <x:v>7</x:v>
      </x:c>
      <x:c r="I5" s="9" t="n">
        <x:f>COUNTIFS('Red Team'!$C$5:$C$307,A5,'Red Team'!$M$5:$M$307,"выполнено",'Red Team'!$N$5:$N$307,"&lt;&gt;",'Red Team'!$D$5:$D$307,"&lt;&gt;пауза")</x:f>
        <x:v>0</x:v>
      </x:c>
      <x:c r="J5" s="9" t="n">
        <x:f>COUNTIFS('Спорт'!$C$5:$C$307,A5,'Спорт'!$F$5:$F$307,"&lt;&gt;")</x:f>
        <x:v>2</x:v>
      </x:c>
      <x:c r="K5" s="9" t="n">
        <x:f>COUNTIFS('Спорт'!$C$5:$C$307,A5,'Спорт'!$P$5:$P$307,"выполнено",'Спорт'!$F$5:$F$307,"&lt;&gt;")</x:f>
        <x:v>0</x:v>
      </x:c>
      <x:c r="L5" s="9" t="str">
        <x:v>CLI с проверками и повтор Caesar без готового ответа</x:v>
      </x:c>
    </x:row>
    <x:row r="6" ht="15" hidden="0" customHeight="1">
      <x:c r="A6" s="9" t="n">
        <x:v>7</x:v>
      </x:c>
      <x:c r="B6" s="10" t="d">
        <x:v>2026-10-12T00:00:00.000Z</x:v>
      </x:c>
      <x:c r="C6" s="10" t="d">
        <x:v>2026-10-18T00:00:00.000Z</x:v>
      </x:c>
      <x:c r="D6" s="9" t="str">
        <x:v>Криптография и идентичность Хэши, MAC, шифрование, PKI и хранение секретов</x:v>
      </x:c>
      <x:c r="E6" s="11" t="n">
        <x:f>SUMIFS('Спорт'!$D$5:$D$307,'Спорт'!$C$5:$C$307,A6)</x:f>
        <x:v>38</x:v>
      </x:c>
      <x:c r="F6" s="11" t="str">
        <x:f>IF(G6=0,"",SUMIFS('Спорт'!$H$5:$H$307,'Спорт'!$C$5:$C$307,A6))</x:f>
      </x:c>
      <x:c r="G6" s="9" t="n">
        <x:f>COUNTIFS('Спорт'!$C$5:$C$307,A6,'Спорт'!$H$5:$H$307,"&lt;&gt;")</x:f>
        <x:v>0</x:v>
      </x:c>
      <x:c r="H6" s="9" t="n">
        <x:f>COUNTIFS('Red Team'!$C$5:$C$307,A6,'Red Team'!$D$5:$D$307,"&lt;&gt;пауза")</x:f>
        <x:v>7</x:v>
      </x:c>
      <x:c r="I6" s="9" t="n">
        <x:f>COUNTIFS('Red Team'!$C$5:$C$307,A6,'Red Team'!$M$5:$M$307,"выполнено",'Red Team'!$N$5:$N$307,"&lt;&gt;",'Red Team'!$D$5:$D$307,"&lt;&gt;пауза")</x:f>
        <x:v>0</x:v>
      </x:c>
      <x:c r="J6" s="9" t="n">
        <x:f>COUNTIFS('Спорт'!$C$5:$C$307,A6,'Спорт'!$F$5:$F$307,"&lt;&gt;")</x:f>
        <x:v>2</x:v>
      </x:c>
      <x:c r="K6" s="9" t="n">
        <x:f>COUNTIFS('Спорт'!$C$5:$C$307,A6,'Спорт'!$P$5:$P$307,"выполнено",'Спорт'!$F$5:$F$307,"&lt;&gt;")</x:f>
        <x:v>0</x:v>
      </x:c>
      <x:c r="L6" s="9" t="str">
        <x:v>таблица механизмов + сертификат</x:v>
      </x:c>
    </x:row>
    <x:row r="7" ht="15" hidden="0" customHeight="1">
      <x:c r="A7" s="9" t="n">
        <x:v>8</x:v>
      </x:c>
      <x:c r="B7" s="10" t="d">
        <x:v>2026-10-19T00:00:00.000Z</x:v>
      </x:c>
      <x:c r="C7" s="10" t="d">
        <x:v>2026-10-25T00:00:00.000Z</x:v>
      </x:c>
      <x:c r="D7" s="9" t="str">
        <x:v>ОС сети и сервисы через Starting Point</x:v>
      </x:c>
      <x:c r="E7" s="11" t="n">
        <x:f>SUMIFS('Спорт'!$D$5:$D$307,'Спорт'!$C$5:$C$307,A7)</x:f>
        <x:v>40</x:v>
      </x:c>
      <x:c r="F7" s="11" t="str">
        <x:f>IF(G7=0,"",SUMIFS('Спорт'!$H$5:$H$307,'Спорт'!$C$5:$C$307,A7))</x:f>
      </x:c>
      <x:c r="G7" s="9" t="n">
        <x:f>COUNTIFS('Спорт'!$C$5:$C$307,A7,'Спорт'!$H$5:$H$307,"&lt;&gt;")</x:f>
        <x:v>0</x:v>
      </x:c>
      <x:c r="H7" s="9" t="n">
        <x:f>COUNTIFS('Red Team'!$C$5:$C$307,A7,'Red Team'!$D$5:$D$307,"&lt;&gt;пауза")</x:f>
        <x:v>7</x:v>
      </x:c>
      <x:c r="I7" s="9" t="n">
        <x:f>COUNTIFS('Red Team'!$C$5:$C$307,A7,'Red Team'!$M$5:$M$307,"выполнено",'Red Team'!$N$5:$N$307,"&lt;&gt;",'Red Team'!$D$5:$D$307,"&lt;&gt;пауза")</x:f>
        <x:v>0</x:v>
      </x:c>
      <x:c r="J7" s="9" t="n">
        <x:f>COUNTIFS('Спорт'!$C$5:$C$307,A7,'Спорт'!$F$5:$F$307,"&lt;&gt;")</x:f>
        <x:v>2</x:v>
      </x:c>
      <x:c r="K7" s="9" t="n">
        <x:f>COUNTIFS('Спорт'!$C$5:$C$307,A7,'Спорт'!$P$5:$P$307,"выполнено",'Спорт'!$F$5:$F$307,"&lt;&gt;")</x:f>
        <x:v>0</x:v>
      </x:c>
      <x:c r="L7" s="9" t="str">
        <x:v>Meow Fawn Dancing Redeemer с причинными заметками</x:v>
      </x:c>
    </x:row>
    <x:row r="8" ht="15" hidden="0" customHeight="1">
      <x:c r="A8" s="9" t="n">
        <x:v>9</x:v>
      </x:c>
      <x:c r="B8" s="10" t="d">
        <x:v>2026-10-26T00:00:00.000Z</x:v>
      </x:c>
      <x:c r="C8" s="10" t="d">
        <x:v>2026-11-01T00:00:00.000Z</x:v>
      </x:c>
      <x:c r="D8" s="9" t="str">
        <x:v>HTTP cookie и границы клиентского состояния</x:v>
      </x:c>
      <x:c r="E8" s="11" t="n">
        <x:f>SUMIFS('Спорт'!$D$5:$D$307,'Спорт'!$C$5:$C$307,A8)</x:f>
        <x:v>30</x:v>
      </x:c>
      <x:c r="F8" s="11" t="str">
        <x:f>IF(G8=0,"",SUMIFS('Спорт'!$H$5:$H$307,'Спорт'!$C$5:$C$307,A8))</x:f>
      </x:c>
      <x:c r="G8" s="9" t="n">
        <x:f>COUNTIFS('Спорт'!$C$5:$C$307,A8,'Спорт'!$H$5:$H$307,"&lt;&gt;")</x:f>
        <x:v>0</x:v>
      </x:c>
      <x:c r="H8" s="9" t="n">
        <x:f>COUNTIFS('Red Team'!$C$5:$C$307,A8,'Red Team'!$D$5:$D$307,"&lt;&gt;пауза")</x:f>
        <x:v>7</x:v>
      </x:c>
      <x:c r="I8" s="9" t="n">
        <x:f>COUNTIFS('Red Team'!$C$5:$C$307,A8,'Red Team'!$M$5:$M$307,"выполнено",'Red Team'!$N$5:$N$307,"&lt;&gt;",'Red Team'!$D$5:$D$307,"&lt;&gt;пауза")</x:f>
        <x:v>0</x:v>
      </x:c>
      <x:c r="J8" s="9" t="n">
        <x:f>COUNTIFS('Спорт'!$C$5:$C$307,A8,'Спорт'!$F$5:$F$307,"&lt;&gt;")</x:f>
        <x:v>2</x:v>
      </x:c>
      <x:c r="K8" s="9" t="n">
        <x:f>COUNTIFS('Спорт'!$C$5:$C$307,A8,'Спорт'!$P$5:$P$307,"выполнено",'Спорт'!$F$5:$F$307,"&lt;&gt;")</x:f>
        <x:v>0</x:v>
      </x:c>
      <x:c r="L8" s="9" t="str">
        <x:v>Cookie2, карта сессии и проверка HTTP</x:v>
      </x:c>
    </x:row>
    <x:row r="9" ht="15" hidden="0" customHeight="1">
      <x:c r="A9" s="9" t="n">
        <x:v>10</x:v>
      </x:c>
      <x:c r="B9" s="10" t="d">
        <x:v>2026-11-02T00:00:00.000Z</x:v>
      </x:c>
      <x:c r="C9" s="10" t="d">
        <x:v>2026-11-08T00:00:00.000Z</x:v>
      </x:c>
      <x:c r="D9" s="9" t="str">
        <x:v>Поверхность web и автоматизация HTTP-задания</x:v>
      </x:c>
      <x:c r="E9" s="11" t="n">
        <x:f>SUMIFS('Спорт'!$D$5:$D$307,'Спорт'!$C$5:$C$307,A9)</x:f>
        <x:v>42</x:v>
      </x:c>
      <x:c r="F9" s="11" t="str">
        <x:f>IF(G9=0,"",SUMIFS('Спорт'!$H$5:$H$307,'Спорт'!$C$5:$C$307,A9))</x:f>
      </x:c>
      <x:c r="G9" s="9" t="n">
        <x:f>COUNTIFS('Спорт'!$C$5:$C$307,A9,'Спорт'!$H$5:$H$307,"&lt;&gt;")</x:f>
        <x:v>0</x:v>
      </x:c>
      <x:c r="H9" s="9" t="n">
        <x:f>COUNTIFS('Red Team'!$C$5:$C$307,A9,'Red Team'!$D$5:$D$307,"&lt;&gt;пауза")</x:f>
        <x:v>7</x:v>
      </x:c>
      <x:c r="I9" s="9" t="n">
        <x:f>COUNTIFS('Red Team'!$C$5:$C$307,A9,'Red Team'!$M$5:$M$307,"выполнено",'Red Team'!$N$5:$N$307,"&lt;&gt;",'Red Team'!$D$5:$D$307,"&lt;&gt;пауза")</x:f>
        <x:v>0</x:v>
      </x:c>
      <x:c r="J9" s="9" t="n">
        <x:f>COUNTIFS('Спорт'!$C$5:$C$307,A9,'Спорт'!$F$5:$F$307,"&lt;&gt;")</x:f>
        <x:v>2</x:v>
      </x:c>
      <x:c r="K9" s="9" t="n">
        <x:f>COUNTIFS('Спорт'!$C$5:$C$307,A9,'Спорт'!$P$5:$P$307,"выполнено",'Спорт'!$F$5:$F$307,"&lt;&gt;")</x:f>
        <x:v>0</x:v>
      </x:c>
      <x:c r="L9" s="9" t="str">
        <x:v>Карта приложения и Hash me reloaded с проверкой bytes</x:v>
      </x:c>
    </x:row>
    <x:row r="10" ht="15" hidden="0" customHeight="1">
      <x:c r="A10" s="9" t="n">
        <x:v>11</x:v>
      </x:c>
      <x:c r="B10" s="10" t="d">
        <x:v>2026-11-09T00:00:00.000Z</x:v>
      </x:c>
      <x:c r="C10" s="10" t="d">
        <x:v>2026-11-15T00:00:00.000Z</x:v>
      </x:c>
      <x:c r="D10" s="9" t="str">
        <x:v>SQL запросы и аутентификация в RingZer0CTF и Starting Point</x:v>
      </x:c>
      <x:c r="E10" s="11" t="n">
        <x:f>SUMIFS('Спорт'!$D$5:$D$307,'Спорт'!$C$5:$C$307,A10)</x:f>
        <x:v>44</x:v>
      </x:c>
      <x:c r="F10" s="11" t="str">
        <x:f>IF(G10=0,"",SUMIFS('Спорт'!$H$5:$H$307,'Спорт'!$C$5:$C$307,A10))</x:f>
      </x:c>
      <x:c r="G10" s="9" t="n">
        <x:f>COUNTIFS('Спорт'!$C$5:$C$307,A10,'Спорт'!$H$5:$H$307,"&lt;&gt;")</x:f>
        <x:v>0</x:v>
      </x:c>
      <x:c r="H10" s="9" t="n">
        <x:f>COUNTIFS('Red Team'!$C$5:$C$307,A10,'Red Team'!$D$5:$D$307,"&lt;&gt;пауза")</x:f>
        <x:v>7</x:v>
      </x:c>
      <x:c r="I10" s="9" t="n">
        <x:f>COUNTIFS('Red Team'!$C$5:$C$307,A10,'Red Team'!$M$5:$M$307,"выполнено",'Red Team'!$N$5:$N$307,"&lt;&gt;",'Red Team'!$D$5:$D$307,"&lt;&gt;пауза")</x:f>
        <x:v>0</x:v>
      </x:c>
      <x:c r="J10" s="9" t="n">
        <x:f>COUNTIFS('Спорт'!$C$5:$C$307,A10,'Спорт'!$F$5:$F$307,"&lt;&gt;")</x:f>
        <x:v>2</x:v>
      </x:c>
      <x:c r="K10" s="9" t="n">
        <x:f>COUNTIFS('Спорт'!$C$5:$C$307,A10,'Спорт'!$P$5:$P$307,"выполнено",'Спорт'!$F$5:$F$307,"&lt;&gt;")</x:f>
        <x:v>0</x:v>
      </x:c>
      <x:c r="L10" s="9" t="str">
        <x:v>R01 Appointment Sequel и различие путей доступа</x:v>
      </x:c>
    </x:row>
    <x:row r="11" ht="15" hidden="0" customHeight="1">
      <x:c r="A11" s="9" t="n">
        <x:v>12</x:v>
      </x:c>
      <x:c r="B11" s="10" t="d">
        <x:v>2026-11-16T00:00:00.000Z</x:v>
      </x:c>
      <x:c r="C11" s="10" t="d">
        <x:v>2026-11-22T00:00:00.000Z</x:v>
      </x:c>
      <x:c r="D11" s="9" t="str">
        <x:v>JavaScript клиентская проверка и XSS</x:v>
      </x:c>
      <x:c r="E11" s="11" t="n">
        <x:f>SUMIFS('Спорт'!$D$5:$D$307,'Спорт'!$C$5:$C$307,A11)</x:f>
        <x:v>46</x:v>
      </x:c>
      <x:c r="F11" s="11" t="str">
        <x:f>IF(G11=0,"",SUMIFS('Спорт'!$H$5:$H$307,'Спорт'!$C$5:$C$307,A11))</x:f>
      </x:c>
      <x:c r="G11" s="9" t="n">
        <x:f>COUNTIFS('Спорт'!$C$5:$C$307,A11,'Спорт'!$H$5:$H$307,"&lt;&gt;")</x:f>
        <x:v>0</x:v>
      </x:c>
      <x:c r="H11" s="9" t="n">
        <x:f>COUNTIFS('Red Team'!$C$5:$C$307,A11,'Red Team'!$D$5:$D$307,"&lt;&gt;пауза")</x:f>
        <x:v>7</x:v>
      </x:c>
      <x:c r="I11" s="9" t="n">
        <x:f>COUNTIFS('Red Team'!$C$5:$C$307,A11,'Red Team'!$M$5:$M$307,"выполнено",'Red Team'!$N$5:$N$307,"&lt;&gt;",'Red Team'!$D$5:$D$307,"&lt;&gt;пауза")</x:f>
        <x:v>0</x:v>
      </x:c>
      <x:c r="J11" s="9" t="n">
        <x:f>COUNTIFS('Спорт'!$C$5:$C$307,A11,'Спорт'!$F$5:$F$307,"&lt;&gt;")</x:f>
        <x:v>2</x:v>
      </x:c>
      <x:c r="K11" s="9" t="n">
        <x:f>COUNTIFS('Спорт'!$C$5:$C$307,A11,'Спорт'!$P$5:$P$307,"выполнено",'Спорт'!$F$5:$F$307,"&lt;&gt;")</x:f>
        <x:v>0</x:v>
      </x:c>
      <x:c r="L11" s="9" t="str">
        <x:v>R27 R30 R31 R96 и границы браузерного доверия</x:v>
      </x:c>
    </x:row>
    <x:row r="12" ht="15" hidden="0" customHeight="1">
      <x:c r="A12" s="9" t="n">
        <x:v>13</x:v>
      </x:c>
      <x:c r="B12" s="10" t="d">
        <x:v>2026-11-23T00:00:00.000Z</x:v>
      </x:c>
      <x:c r="C12" s="10" t="d">
        <x:v>2026-11-29T00:00:00.000Z</x:v>
      </x:c>
      <x:c r="D12" s="9" t="str">
        <x:v>Аутентификация авторизация OAuth OIDC и JWT</x:v>
      </x:c>
      <x:c r="E12" s="11" t="n">
        <x:f>SUMIFS('Спорт'!$D$5:$D$307,'Спорт'!$C$5:$C$307,A12)</x:f>
        <x:v>34</x:v>
      </x:c>
      <x:c r="F12" s="11" t="str">
        <x:f>IF(G12=0,"",SUMIFS('Спорт'!$H$5:$H$307,'Спорт'!$C$5:$C$307,A12))</x:f>
      </x:c>
      <x:c r="G12" s="9" t="n">
        <x:f>COUNTIFS('Спорт'!$C$5:$C$307,A12,'Спорт'!$H$5:$H$307,"&lt;&gt;")</x:f>
        <x:v>0</x:v>
      </x:c>
      <x:c r="H12" s="9" t="n">
        <x:f>COUNTIFS('Red Team'!$C$5:$C$307,A12,'Red Team'!$D$5:$D$307,"&lt;&gt;пауза")</x:f>
        <x:v>7</x:v>
      </x:c>
      <x:c r="I12" s="9" t="n">
        <x:f>COUNTIFS('Red Team'!$C$5:$C$307,A12,'Red Team'!$M$5:$M$307,"выполнено",'Red Team'!$N$5:$N$307,"&lt;&gt;",'Red Team'!$D$5:$D$307,"&lt;&gt;пауза")</x:f>
        <x:v>0</x:v>
      </x:c>
      <x:c r="J12" s="9" t="n">
        <x:f>COUNTIFS('Спорт'!$C$5:$C$307,A12,'Спорт'!$F$5:$F$307,"&lt;&gt;")</x:f>
        <x:v>2</x:v>
      </x:c>
      <x:c r="K12" s="9" t="n">
        <x:f>COUNTIFS('Спорт'!$C$5:$C$307,A12,'Спорт'!$P$5:$P$307,"выполнено",'Спорт'!$F$5:$F$307,"&lt;&gt;")</x:f>
        <x:v>0</x:v>
      </x:c>
      <x:c r="L12" s="9" t="str">
        <x:v>Модель доступа и матрица проверок токена</x:v>
      </x:c>
    </x:row>
    <x:row r="13" ht="15" hidden="0" customHeight="1">
      <x:c r="A13" s="9" t="n">
        <x:v>14</x:v>
      </x:c>
      <x:c r="B13" s="10" t="d">
        <x:v>2026-11-30T00:00:00.000Z</x:v>
      </x:c>
      <x:c r="C13" s="10" t="d">
        <x:v>2026-12-06T00:00:00.000Z</x:v>
      </x:c>
      <x:c r="D13" s="9" t="str">
        <x:v>Web pentest SSRF, XXE, traversal, upload и deserialization</x:v>
      </x:c>
      <x:c r="E13" s="11" t="n">
        <x:f>SUMIFS('Спорт'!$D$5:$D$307,'Спорт'!$C$5:$C$307,A13)</x:f>
        <x:v>48</x:v>
      </x:c>
      <x:c r="F13" s="11" t="str">
        <x:f>IF(G13=0,"",SUMIFS('Спорт'!$H$5:$H$307,'Спорт'!$C$5:$C$307,A13))</x:f>
      </x:c>
      <x:c r="G13" s="9" t="n">
        <x:f>COUNTIFS('Спорт'!$C$5:$C$307,A13,'Спорт'!$H$5:$H$307,"&lt;&gt;")</x:f>
        <x:v>0</x:v>
      </x:c>
      <x:c r="H13" s="9" t="n">
        <x:f>COUNTIFS('Red Team'!$C$5:$C$307,A13,'Red Team'!$D$5:$D$307,"&lt;&gt;пауза")</x:f>
        <x:v>7</x:v>
      </x:c>
      <x:c r="I13" s="9" t="n">
        <x:f>COUNTIFS('Red Team'!$C$5:$C$307,A13,'Red Team'!$M$5:$M$307,"выполнено",'Red Team'!$N$5:$N$307,"&lt;&gt;",'Red Team'!$D$5:$D$307,"&lt;&gt;пауза")</x:f>
        <x:v>0</x:v>
      </x:c>
      <x:c r="J13" s="9" t="n">
        <x:f>COUNTIFS('Спорт'!$C$5:$C$307,A13,'Спорт'!$F$5:$F$307,"&lt;&gt;")</x:f>
        <x:v>2</x:v>
      </x:c>
      <x:c r="K13" s="9" t="n">
        <x:f>COUNTIFS('Спорт'!$C$5:$C$307,A13,'Спорт'!$P$5:$P$307,"выполнено",'Спорт'!$F$5:$F$307,"&lt;&gt;")</x:f>
        <x:v>0</x:v>
      </x:c>
      <x:c r="L13" s="9" t="str">
        <x:v>схема серверной границы</x:v>
      </x:c>
    </x:row>
    <x:row r="14" ht="15" hidden="0" customHeight="1">
      <x:c r="A14" s="9" t="n">
        <x:v>15</x:v>
      </x:c>
      <x:c r="B14" s="10" t="d">
        <x:v>2026-12-07T00:00:00.000Z</x:v>
      </x:c>
      <x:c r="C14" s="10" t="d">
        <x:v>2026-12-13T00:00:00.000Z</x:v>
      </x:c>
      <x:c r="D14" s="9" t="str">
        <x:v>API контракты бизнес логика и обработка ошибок</x:v>
      </x:c>
      <x:c r="E14" s="11" t="n">
        <x:f>SUMIFS('Спорт'!$D$5:$D$307,'Спорт'!$C$5:$C$307,A14)</x:f>
        <x:v>50</x:v>
      </x:c>
      <x:c r="F14" s="11" t="str">
        <x:f>IF(G14=0,"",SUMIFS('Спорт'!$H$5:$H$307,'Спорт'!$C$5:$C$307,A14))</x:f>
      </x:c>
      <x:c r="G14" s="9" t="n">
        <x:f>COUNTIFS('Спорт'!$C$5:$C$307,A14,'Спорт'!$H$5:$H$307,"&lt;&gt;")</x:f>
        <x:v>0</x:v>
      </x:c>
      <x:c r="H14" s="9" t="n">
        <x:f>COUNTIFS('Red Team'!$C$5:$C$307,A14,'Red Team'!$D$5:$D$307,"&lt;&gt;пауза")</x:f>
        <x:v>6</x:v>
      </x:c>
      <x:c r="I14" s="9" t="n">
        <x:f>COUNTIFS('Red Team'!$C$5:$C$307,A14,'Red Team'!$M$5:$M$307,"выполнено",'Red Team'!$N$5:$N$307,"&lt;&gt;",'Red Team'!$D$5:$D$307,"&lt;&gt;пауза")</x:f>
        <x:v>0</x:v>
      </x:c>
      <x:c r="J14" s="9" t="n">
        <x:f>COUNTIFS('Спорт'!$C$5:$C$307,A14,'Спорт'!$F$5:$F$307,"&lt;&gt;")</x:f>
        <x:v>2</x:v>
      </x:c>
      <x:c r="K14" s="9" t="n">
        <x:f>COUNTIFS('Спорт'!$C$5:$C$307,A14,'Спорт'!$P$5:$P$307,"выполнено",'Спорт'!$F$5:$F$307,"&lt;&gt;")</x:f>
        <x:v>0</x:v>
      </x:c>
      <x:c r="L14" s="9" t="str">
        <x:v>Контракт API и регрессионные случаи</x:v>
      </x:c>
    </x:row>
    <x:row r="15" ht="15" hidden="0" customHeight="1">
      <x:c r="A15" s="9" t="n">
        <x:v>16</x:v>
      </x:c>
      <x:c r="B15" s="10" t="d">
        <x:v>2026-12-14T00:00:00.000Z</x:v>
      </x:c>
      <x:c r="C15" s="10" t="d">
        <x:v>2026-12-20T00:00:00.000Z</x:v>
      </x:c>
      <x:c r="D15" s="9" t="str">
        <x:v>Безопасность AI агентов и инструментов</x:v>
      </x:c>
      <x:c r="E15" s="11" t="n">
        <x:f>SUMIFS('Спорт'!$D$5:$D$307,'Спорт'!$C$5:$C$307,A15)</x:f>
        <x:v>52</x:v>
      </x:c>
      <x:c r="F15" s="11" t="str">
        <x:f>IF(G15=0,"",SUMIFS('Спорт'!$H$5:$H$307,'Спорт'!$C$5:$C$307,A15))</x:f>
      </x:c>
      <x:c r="G15" s="9" t="n">
        <x:f>COUNTIFS('Спорт'!$C$5:$C$307,A15,'Спорт'!$H$5:$H$307,"&lt;&gt;")</x:f>
        <x:v>0</x:v>
      </x:c>
      <x:c r="H15" s="9" t="n">
        <x:f>COUNTIFS('Red Team'!$C$5:$C$307,A15,'Red Team'!$D$5:$D$307,"&lt;&gt;пауза")</x:f>
        <x:v>6</x:v>
      </x:c>
      <x:c r="I15" s="9" t="n">
        <x:f>COUNTIFS('Red Team'!$C$5:$C$307,A15,'Red Team'!$M$5:$M$307,"выполнено",'Red Team'!$N$5:$N$307,"&lt;&gt;",'Red Team'!$D$5:$D$307,"&lt;&gt;пауза")</x:f>
        <x:v>0</x:v>
      </x:c>
      <x:c r="J15" s="9" t="n">
        <x:f>COUNTIFS('Спорт'!$C$5:$C$307,A15,'Спорт'!$F$5:$F$307,"&lt;&gt;")</x:f>
        <x:v>2</x:v>
      </x:c>
      <x:c r="K15" s="9" t="n">
        <x:f>COUNTIFS('Спорт'!$C$5:$C$307,A15,'Спорт'!$P$5:$P$307,"выполнено",'Спорт'!$F$5:$F$307,"&lt;&gt;")</x:f>
        <x:v>0</x:v>
      </x:c>
      <x:c r="L15" s="9" t="str">
        <x:v>Матрица сценариев mock агента и отчёт о границах доверия</x:v>
      </x:c>
    </x:row>
    <x:row r="16" ht="15" hidden="0" customHeight="1">
      <x:c r="A16" s="9" t="n">
        <x:v>17</x:v>
      </x:c>
      <x:c r="B16" s="10" t="d">
        <x:v>2026-12-21T00:00:00.000Z</x:v>
      </x:c>
      <x:c r="C16" s="10" t="d">
        <x:v>2026-12-27T00:00:00.000Z</x:v>
      </x:c>
      <x:c r="D16" s="9" t="str">
        <x:v>Сервисы и цепочка сетевого доступа Crocodile</x:v>
      </x:c>
      <x:c r="E16" s="11" t="n">
        <x:f>SUMIFS('Спорт'!$D$5:$D$307,'Спорт'!$C$5:$C$307,A16)</x:f>
        <x:v>38</x:v>
      </x:c>
      <x:c r="F16" s="11" t="str">
        <x:f>IF(G16=0,"",SUMIFS('Спорт'!$H$5:$H$307,'Спорт'!$C$5:$C$307,A16))</x:f>
      </x:c>
      <x:c r="G16" s="9" t="n">
        <x:f>COUNTIFS('Спорт'!$C$5:$C$307,A16,'Спорт'!$H$5:$H$307,"&lt;&gt;")</x:f>
        <x:v>0</x:v>
      </x:c>
      <x:c r="H16" s="9" t="n">
        <x:f>COUNTIFS('Red Team'!$C$5:$C$307,A16,'Red Team'!$D$5:$D$307,"&lt;&gt;пауза")</x:f>
        <x:v>7</x:v>
      </x:c>
      <x:c r="I16" s="9" t="n">
        <x:f>COUNTIFS('Red Team'!$C$5:$C$307,A16,'Red Team'!$M$5:$M$307,"выполнено",'Red Team'!$N$5:$N$307,"&lt;&gt;",'Red Team'!$D$5:$D$307,"&lt;&gt;пауза")</x:f>
        <x:v>0</x:v>
      </x:c>
      <x:c r="J16" s="9" t="n">
        <x:f>COUNTIFS('Спорт'!$C$5:$C$307,A16,'Спорт'!$F$5:$F$307,"&lt;&gt;")</x:f>
        <x:v>2</x:v>
      </x:c>
      <x:c r="K16" s="9" t="n">
        <x:f>COUNTIFS('Спорт'!$C$5:$C$307,A16,'Спорт'!$P$5:$P$307,"выполнено",'Спорт'!$F$5:$F$307,"&lt;&gt;")</x:f>
        <x:v>0</x:v>
      </x:c>
      <x:c r="L16" s="9" t="str">
        <x:v>Один решённый Crocodile и воспроизводимый write-up</x:v>
      </x:c>
    </x:row>
    <x:row r="17" ht="15" hidden="0" customHeight="1">
      <x:c r="A17" s="9" t="n">
        <x:v>18</x:v>
      </x:c>
      <x:c r="B17" s="10" t="d">
        <x:v>2026-12-28T00:00:00.000Z</x:v>
      </x:c>
      <x:c r="C17" s="10" t="d">
        <x:v>2027-01-03T00:00:00.000Z</x:v>
      </x:c>
      <x:c r="D17" s="9" t="str">
        <x:v>Linux права: повтор SysAdmin Part 1, Cap и Part 2</x:v>
      </x:c>
      <x:c r="E17" s="11" t="n">
        <x:f>SUMIFS('Спорт'!$D$5:$D$307,'Спорт'!$C$5:$C$307,A17)</x:f>
        <x:v>50</x:v>
      </x:c>
      <x:c r="F17" s="11" t="str">
        <x:f>IF(G17=0,"",SUMIFS('Спорт'!$H$5:$H$307,'Спорт'!$C$5:$C$307,A17))</x:f>
      </x:c>
      <x:c r="G17" s="9" t="n">
        <x:f>COUNTIFS('Спорт'!$C$5:$C$307,A17,'Спорт'!$H$5:$H$307,"&lt;&gt;")</x:f>
        <x:v>0</x:v>
      </x:c>
      <x:c r="H17" s="9" t="n">
        <x:f>COUNTIFS('Red Team'!$C$5:$C$307,A17,'Red Team'!$D$5:$D$307,"&lt;&gt;пауза")</x:f>
        <x:v>7</x:v>
      </x:c>
      <x:c r="I17" s="9" t="n">
        <x:f>COUNTIFS('Red Team'!$C$5:$C$307,A17,'Red Team'!$M$5:$M$307,"выполнено",'Red Team'!$N$5:$N$307,"&lt;&gt;",'Red Team'!$D$5:$D$307,"&lt;&gt;пауза")</x:f>
        <x:v>0</x:v>
      </x:c>
      <x:c r="J17" s="9" t="n">
        <x:f>COUNTIFS('Спорт'!$C$5:$C$307,A17,'Спорт'!$F$5:$F$307,"&lt;&gt;")</x:f>
        <x:v>2</x:v>
      </x:c>
      <x:c r="K17" s="9" t="n">
        <x:f>COUNTIFS('Спорт'!$C$5:$C$307,A17,'Спорт'!$P$5:$P$307,"выполнено",'Спорт'!$F$5:$F$307,"&lt;&gt;")</x:f>
        <x:v>0</x:v>
      </x:c>
      <x:c r="L17" s="9" t="str">
        <x:v>Самостоятельный повтор Cap и проверенные права</x:v>
      </x:c>
    </x:row>
    <x:row r="18" ht="15" hidden="0" customHeight="1">
      <x:c r="A18" s="9" t="n">
        <x:v>19</x:v>
      </x:c>
      <x:c r="B18" s="10" t="d">
        <x:v>2027-01-04T00:00:00.000Z</x:v>
      </x:c>
      <x:c r="C18" s="10" t="d">
        <x:v>2027-01-10T00:00:00.000Z</x:v>
      </x:c>
      <x:c r="D18" s="9" t="str">
        <x:v>Windows token ACL и сервисы через Archetype</x:v>
      </x:c>
      <x:c r="E18" s="11" t="n">
        <x:f>SUMIFS('Спорт'!$D$5:$D$307,'Спорт'!$C$5:$C$307,A18)</x:f>
        <x:v>54</x:v>
      </x:c>
      <x:c r="F18" s="11" t="str">
        <x:f>IF(G18=0,"",SUMIFS('Спорт'!$H$5:$H$307,'Спорт'!$C$5:$C$307,A18))</x:f>
      </x:c>
      <x:c r="G18" s="9" t="n">
        <x:f>COUNTIFS('Спорт'!$C$5:$C$307,A18,'Спорт'!$H$5:$H$307,"&lt;&gt;")</x:f>
        <x:v>0</x:v>
      </x:c>
      <x:c r="H18" s="9" t="n">
        <x:f>COUNTIFS('Red Team'!$C$5:$C$307,A18,'Red Team'!$D$5:$D$307,"&lt;&gt;пауза")</x:f>
        <x:v>6</x:v>
      </x:c>
      <x:c r="I18" s="9" t="n">
        <x:f>COUNTIFS('Red Team'!$C$5:$C$307,A18,'Red Team'!$M$5:$M$307,"выполнено",'Red Team'!$N$5:$N$307,"&lt;&gt;",'Red Team'!$D$5:$D$307,"&lt;&gt;пауза")</x:f>
        <x:v>0</x:v>
      </x:c>
      <x:c r="J18" s="9" t="n">
        <x:f>COUNTIFS('Спорт'!$C$5:$C$307,A18,'Спорт'!$F$5:$F$307,"&lt;&gt;")</x:f>
        <x:v>2</x:v>
      </x:c>
      <x:c r="K18" s="9" t="n">
        <x:f>COUNTIFS('Спорт'!$C$5:$C$307,A18,'Спорт'!$P$5:$P$307,"выполнено",'Спорт'!$F$5:$F$307,"&lt;&gt;")</x:f>
        <x:v>0</x:v>
      </x:c>
      <x:c r="L18" s="9" t="str">
        <x:v>Один путь Archetype с контекстом identity и ACL</x:v>
      </x:c>
    </x:row>
    <x:row r="19" ht="15" hidden="0" customHeight="1">
      <x:c r="A19" s="9" t="n">
        <x:v>20</x:v>
      </x:c>
      <x:c r="B19" s="10" t="d">
        <x:v>2027-01-11T00:00:00.000Z</x:v>
      </x:c>
      <x:c r="C19" s="10" t="d">
        <x:v>2027-01-17T00:00:00.000Z</x:v>
      </x:c>
      <x:c r="D19" s="9" t="str">
        <x:v>Active Directory AD база: объекты, Kerberos, LDAP, DNS и GPO</x:v>
      </x:c>
      <x:c r="E19" s="11" t="n">
        <x:f>SUMIFS('Спорт'!$D$5:$D$307,'Спорт'!$C$5:$C$307,A19)</x:f>
        <x:v>56</x:v>
      </x:c>
      <x:c r="F19" s="11" t="str">
        <x:f>IF(G19=0,"",SUMIFS('Спорт'!$H$5:$H$307,'Спорт'!$C$5:$C$307,A19))</x:f>
      </x:c>
      <x:c r="G19" s="9" t="n">
        <x:f>COUNTIFS('Спорт'!$C$5:$C$307,A19,'Спорт'!$H$5:$H$307,"&lt;&gt;")</x:f>
        <x:v>0</x:v>
      </x:c>
      <x:c r="H19" s="9" t="n">
        <x:f>COUNTIFS('Red Team'!$C$5:$C$307,A19,'Red Team'!$D$5:$D$307,"&lt;&gt;пауза")</x:f>
        <x:v>6</x:v>
      </x:c>
      <x:c r="I19" s="9" t="n">
        <x:f>COUNTIFS('Red Team'!$C$5:$C$307,A19,'Red Team'!$M$5:$M$307,"выполнено",'Red Team'!$N$5:$N$307,"&lt;&gt;",'Red Team'!$D$5:$D$307,"&lt;&gt;пауза")</x:f>
        <x:v>0</x:v>
      </x:c>
      <x:c r="J19" s="9" t="n">
        <x:f>COUNTIFS('Спорт'!$C$5:$C$307,A19,'Спорт'!$F$5:$F$307,"&lt;&gt;")</x:f>
        <x:v>2</x:v>
      </x:c>
      <x:c r="K19" s="9" t="n">
        <x:f>COUNTIFS('Спорт'!$C$5:$C$307,A19,'Спорт'!$P$5:$P$307,"выполнено",'Спорт'!$F$5:$F$307,"&lt;&gt;")</x:f>
        <x:v>0</x:v>
      </x:c>
      <x:c r="L19" s="9" t="str">
        <x:v>AD architecture</x:v>
      </x:c>
    </x:row>
    <x:row r="20" ht="15" hidden="0" customHeight="1">
      <x:c r="A20" s="9" t="n">
        <x:v>21</x:v>
      </x:c>
      <x:c r="B20" s="10" t="d">
        <x:v>2027-01-18T00:00:00.000Z</x:v>
      </x:c>
      <x:c r="C20" s="10" t="d">
        <x:v>2027-01-24T00:00:00.000Z</x:v>
      </x:c>
      <x:c r="D20" s="9" t="str">
        <x:v>Граф AD и подтверждение пути Forest</x:v>
      </x:c>
      <x:c r="E20" s="11" t="n">
        <x:f>SUMIFS('Спорт'!$D$5:$D$307,'Спорт'!$C$5:$C$307,A20)</x:f>
        <x:v>42</x:v>
      </x:c>
      <x:c r="F20" s="11" t="str">
        <x:f>IF(G20=0,"",SUMIFS('Спорт'!$H$5:$H$307,'Спорт'!$C$5:$C$307,A20))</x:f>
      </x:c>
      <x:c r="G20" s="9" t="n">
        <x:f>COUNTIFS('Спорт'!$C$5:$C$307,A20,'Спорт'!$H$5:$H$307,"&lt;&gt;")</x:f>
        <x:v>0</x:v>
      </x:c>
      <x:c r="H20" s="9" t="n">
        <x:f>COUNTIFS('Red Team'!$C$5:$C$307,A20,'Red Team'!$D$5:$D$307,"&lt;&gt;пауза")</x:f>
        <x:v>7</x:v>
      </x:c>
      <x:c r="I20" s="9" t="n">
        <x:f>COUNTIFS('Red Team'!$C$5:$C$307,A20,'Red Team'!$M$5:$M$307,"выполнено",'Red Team'!$N$5:$N$307,"&lt;&gt;",'Red Team'!$D$5:$D$307,"&lt;&gt;пауза")</x:f>
        <x:v>0</x:v>
      </x:c>
      <x:c r="J20" s="9" t="n">
        <x:f>COUNTIFS('Спорт'!$C$5:$C$307,A20,'Спорт'!$F$5:$F$307,"&lt;&gt;")</x:f>
        <x:v>2</x:v>
      </x:c>
      <x:c r="K20" s="9" t="n">
        <x:f>COUNTIFS('Спорт'!$C$5:$C$307,A20,'Спорт'!$P$5:$P$307,"выполнено",'Спорт'!$F$5:$F$307,"&lt;&gt;")</x:f>
        <x:v>0</x:v>
      </x:c>
      <x:c r="L20" s="9" t="str">
        <x:v>Один объяснённый путь Forest с условиями каждого ребра</x:v>
      </x:c>
    </x:row>
    <x:row r="21" ht="15" hidden="0" customHeight="1">
      <x:c r="A21" s="9" t="n">
        <x:v>22</x:v>
      </x:c>
      <x:c r="B21" s="10" t="d">
        <x:v>2027-01-25T00:00:00.000Z</x:v>
      </x:c>
      <x:c r="C21" s="10" t="d">
        <x:v>2027-01-31T00:00:00.000Z</x:v>
      </x:c>
      <x:c r="D21" s="9" t="str">
        <x:v>Kerberos federation и S3-права в Three</x:v>
      </x:c>
      <x:c r="E21" s="11" t="n">
        <x:f>SUMIFS('Спорт'!$D$5:$D$307,'Спорт'!$C$5:$C$307,A21)</x:f>
        <x:v>58</x:v>
      </x:c>
      <x:c r="F21" s="11" t="str">
        <x:f>IF(G21=0,"",SUMIFS('Спорт'!$H$5:$H$307,'Спорт'!$C$5:$C$307,A21))</x:f>
      </x:c>
      <x:c r="G21" s="9" t="n">
        <x:f>COUNTIFS('Спорт'!$C$5:$C$307,A21,'Спорт'!$H$5:$H$307,"&lt;&gt;")</x:f>
        <x:v>0</x:v>
      </x:c>
      <x:c r="H21" s="9" t="n">
        <x:f>COUNTIFS('Red Team'!$C$5:$C$307,A21,'Red Team'!$D$5:$D$307,"&lt;&gt;пауза")</x:f>
        <x:v>6</x:v>
      </x:c>
      <x:c r="I21" s="9" t="n">
        <x:f>COUNTIFS('Red Team'!$C$5:$C$307,A21,'Red Team'!$M$5:$M$307,"выполнено",'Red Team'!$N$5:$N$307,"&lt;&gt;",'Red Team'!$D$5:$D$307,"&lt;&gt;пауза")</x:f>
        <x:v>0</x:v>
      </x:c>
      <x:c r="J21" s="9" t="n">
        <x:f>COUNTIFS('Спорт'!$C$5:$C$307,A21,'Спорт'!$F$5:$F$307,"&lt;&gt;")</x:f>
        <x:v>2</x:v>
      </x:c>
      <x:c r="K21" s="9" t="n">
        <x:f>COUNTIFS('Спорт'!$C$5:$C$307,A21,'Спорт'!$P$5:$P$307,"выполнено",'Спорт'!$F$5:$F$307,"&lt;&gt;")</x:f>
        <x:v>0</x:v>
      </x:c>
      <x:c r="L21" s="9" t="str">
        <x:v>Различие билета, федеративного доверия и права на объект</x:v>
      </x:c>
    </x:row>
    <x:row r="22" ht="15" hidden="0" customHeight="1">
      <x:c r="A22" s="9" t="n">
        <x:v>23</x:v>
      </x:c>
      <x:c r="B22" s="10" t="d">
        <x:v>2027-02-01T00:00:00.000Z</x:v>
      </x:c>
      <x:c r="C22" s="10" t="d">
        <x:v>2027-02-07T00:00:00.000Z</x:v>
      </x:c>
      <x:c r="D22" s="9" t="str">
        <x:v>Pivoting Маршруты, tunnels, SOCKS и lateral movement в lab</x:v>
      </x:c>
      <x:c r="E22" s="11" t="n">
        <x:f>SUMIFS('Спорт'!$D$5:$D$307,'Спорт'!$C$5:$C$307,A22)</x:f>
        <x:v>60</x:v>
      </x:c>
      <x:c r="F22" s="11" t="str">
        <x:f>IF(G22=0,"",SUMIFS('Спорт'!$H$5:$H$307,'Спорт'!$C$5:$C$307,A22))</x:f>
      </x:c>
      <x:c r="G22" s="9" t="n">
        <x:f>COUNTIFS('Спорт'!$C$5:$C$307,A22,'Спорт'!$H$5:$H$307,"&lt;&gt;")</x:f>
        <x:v>0</x:v>
      </x:c>
      <x:c r="H22" s="9" t="n">
        <x:f>COUNTIFS('Red Team'!$C$5:$C$307,A22,'Red Team'!$D$5:$D$307,"&lt;&gt;пауза")</x:f>
        <x:v>6</x:v>
      </x:c>
      <x:c r="I22" s="9" t="n">
        <x:f>COUNTIFS('Red Team'!$C$5:$C$307,A22,'Red Team'!$M$5:$M$307,"выполнено",'Red Team'!$N$5:$N$307,"&lt;&gt;",'Red Team'!$D$5:$D$307,"&lt;&gt;пауза")</x:f>
        <x:v>0</x:v>
      </x:c>
      <x:c r="J22" s="9" t="n">
        <x:f>COUNTIFS('Спорт'!$C$5:$C$307,A22,'Спорт'!$F$5:$F$307,"&lt;&gt;")</x:f>
        <x:v>2</x:v>
      </x:c>
      <x:c r="K22" s="9" t="n">
        <x:f>COUNTIFS('Спорт'!$C$5:$C$307,A22,'Спорт'!$P$5:$P$307,"выполнено",'Спорт'!$F$5:$F$307,"&lt;&gt;")</x:f>
        <x:v>0</x:v>
      </x:c>
      <x:c r="L22" s="9" t="str">
        <x:v>tunnel diagram + cleanup</x:v>
      </x:c>
    </x:row>
    <x:row r="23" ht="15" hidden="0" customHeight="1">
      <x:c r="A23" s="9" t="n">
        <x:v>24</x:v>
      </x:c>
      <x:c r="B23" s="10" t="d">
        <x:v>2027-02-08T00:00:00.000Z</x:v>
      </x:c>
      <x:c r="C23" s="10" t="d">
        <x:v>2027-02-14T00:00:00.000Z</x:v>
      </x:c>
      <x:c r="D23" s="9" t="str">
        <x:v>Контейнеры CI workload identity и цепочка поставки ПО</x:v>
      </x:c>
      <x:c r="E23" s="11" t="n">
        <x:f>SUMIFS('Спорт'!$D$5:$D$307,'Спорт'!$C$5:$C$307,A23)</x:f>
        <x:v>62</x:v>
      </x:c>
      <x:c r="F23" s="11" t="str">
        <x:f>IF(G23=0,"",SUMIFS('Спорт'!$H$5:$H$307,'Спорт'!$C$5:$C$307,A23))</x:f>
      </x:c>
      <x:c r="G23" s="9" t="n">
        <x:f>COUNTIFS('Спорт'!$C$5:$C$307,A23,'Спорт'!$H$5:$H$307,"&lt;&gt;")</x:f>
        <x:v>0</x:v>
      </x:c>
      <x:c r="H23" s="9" t="n">
        <x:f>COUNTIFS('Red Team'!$C$5:$C$307,A23,'Red Team'!$D$5:$D$307,"&lt;&gt;пауза")</x:f>
        <x:v>6</x:v>
      </x:c>
      <x:c r="I23" s="9" t="n">
        <x:f>COUNTIFS('Red Team'!$C$5:$C$307,A23,'Red Team'!$M$5:$M$307,"выполнено",'Red Team'!$N$5:$N$307,"&lt;&gt;",'Red Team'!$D$5:$D$307,"&lt;&gt;пауза")</x:f>
        <x:v>0</x:v>
      </x:c>
      <x:c r="J23" s="9" t="n">
        <x:f>COUNTIFS('Спорт'!$C$5:$C$307,A23,'Спорт'!$F$5:$F$307,"&lt;&gt;")</x:f>
        <x:v>2</x:v>
      </x:c>
      <x:c r="K23" s="9" t="n">
        <x:f>COUNTIFS('Спорт'!$C$5:$C$307,A23,'Спорт'!$P$5:$P$307,"выполнено",'Спорт'!$F$5:$F$307,"&lt;&gt;")</x:f>
        <x:v>0</x:v>
      </x:c>
      <x:c r="L23" s="9" t="str">
        <x:v>Карта одной сборки от исходника до артефакта</x:v>
      </x:c>
    </x:row>
    <x:row r="24" ht="15" hidden="0" customHeight="1">
      <x:c r="A24" s="9" t="n">
        <x:v>25</x:v>
      </x:c>
      <x:c r="B24" s="10" t="d">
        <x:v>2027-02-15T00:00:00.000Z</x:v>
      </x:c>
      <x:c r="C24" s="10" t="d">
        <x:v>2027-02-21T00:00:00.000Z</x:v>
      </x:c>
      <x:c r="D24" s="9" t="str">
        <x:v>Форматы bytes и границы памяти C</x:v>
      </x:c>
      <x:c r="E24" s="11" t="n">
        <x:f>SUMIFS('Спорт'!$D$5:$D$307,'Спорт'!$C$5:$C$307,A24)</x:f>
        <x:v>46</x:v>
      </x:c>
      <x:c r="F24" s="11" t="str">
        <x:f>IF(G24=0,"",SUMIFS('Спорт'!$H$5:$H$307,'Спорт'!$C$5:$C$307,A24))</x:f>
      </x:c>
      <x:c r="G24" s="9" t="n">
        <x:f>COUNTIFS('Спорт'!$C$5:$C$307,A24,'Спорт'!$H$5:$H$307,"&lt;&gt;")</x:f>
        <x:v>0</x:v>
      </x:c>
      <x:c r="H24" s="9" t="n">
        <x:f>COUNTIFS('Red Team'!$C$5:$C$307,A24,'Red Team'!$D$5:$D$307,"&lt;&gt;пауза")</x:f>
        <x:v>7</x:v>
      </x:c>
      <x:c r="I24" s="9" t="n">
        <x:f>COUNTIFS('Red Team'!$C$5:$C$307,A24,'Red Team'!$M$5:$M$307,"выполнено",'Red Team'!$N$5:$N$307,"&lt;&gt;",'Red Team'!$D$5:$D$307,"&lt;&gt;пауза")</x:f>
        <x:v>0</x:v>
      </x:c>
      <x:c r="J24" s="9" t="n">
        <x:f>COUNTIFS('Спорт'!$C$5:$C$307,A24,'Спорт'!$F$5:$F$307,"&lt;&gt;")</x:f>
        <x:v>2</x:v>
      </x:c>
      <x:c r="K24" s="9" t="n">
        <x:f>COUNTIFS('Спорт'!$C$5:$C$307,A24,'Спорт'!$P$5:$P$307,"выполнено",'Спорт'!$F$5:$F$307,"&lt;&gt;")</x:f>
        <x:v>0</x:v>
      </x:c>
      <x:c r="L24" s="9" t="str">
        <x:v>Detector и собственные bounds/lifetime контроли</x:v>
      </x:c>
    </x:row>
    <x:row r="25" ht="15" hidden="0" customHeight="1">
      <x:c r="A25" s="9" t="n">
        <x:v>26</x:v>
      </x:c>
      <x:c r="B25" s="10" t="d">
        <x:v>2027-02-22T00:00:00.000Z</x:v>
      </x:c>
      <x:c r="C25" s="10" t="d">
        <x:v>2027-02-28T00:00:00.000Z</x:v>
      </x:c>
      <x:c r="D25" s="9" t="str">
        <x:v>Reverse/Pwn/Exploit Assembly, ABI, stack frames и calling conventions</x:v>
      </x:c>
      <x:c r="E25" s="11" t="n">
        <x:f>SUMIFS('Спорт'!$D$5:$D$307,'Спорт'!$C$5:$C$307,A25)</x:f>
        <x:v>64</x:v>
      </x:c>
      <x:c r="F25" s="11" t="str">
        <x:f>IF(G25=0,"",SUMIFS('Спорт'!$H$5:$H$307,'Спорт'!$C$5:$C$307,A25))</x:f>
      </x:c>
      <x:c r="G25" s="9" t="n">
        <x:f>COUNTIFS('Спорт'!$C$5:$C$307,A25,'Спорт'!$H$5:$H$307,"&lt;&gt;")</x:f>
        <x:v>0</x:v>
      </x:c>
      <x:c r="H25" s="9" t="n">
        <x:f>COUNTIFS('Red Team'!$C$5:$C$307,A25,'Red Team'!$D$5:$D$307,"&lt;&gt;пауза")</x:f>
        <x:v>6</x:v>
      </x:c>
      <x:c r="I25" s="9" t="n">
        <x:f>COUNTIFS('Red Team'!$C$5:$C$307,A25,'Red Team'!$M$5:$M$307,"выполнено",'Red Team'!$N$5:$N$307,"&lt;&gt;",'Red Team'!$D$5:$D$307,"&lt;&gt;пауза")</x:f>
        <x:v>0</x:v>
      </x:c>
      <x:c r="J25" s="9" t="n">
        <x:f>COUNTIFS('Спорт'!$C$5:$C$307,A25,'Спорт'!$F$5:$F$307,"&lt;&gt;")</x:f>
        <x:v>2</x:v>
      </x:c>
      <x:c r="K25" s="9" t="n">
        <x:f>COUNTIFS('Спорт'!$C$5:$C$307,A25,'Спорт'!$P$5:$P$307,"выполнено",'Спорт'!$F$5:$F$307,"&lt;&gt;")</x:f>
        <x:v>0</x:v>
      </x:c>
      <x:c r="L25" s="9" t="str">
        <x:v>ABI table + annotated disassembly</x:v>
      </x:c>
    </x:row>
    <x:row r="26" ht="15" hidden="0" customHeight="1">
      <x:c r="A26" s="9" t="n">
        <x:v>27</x:v>
      </x:c>
      <x:c r="B26" s="10" t="d">
        <x:v>2027-03-01T00:00:00.000Z</x:v>
      </x:c>
      <x:c r="C26" s="10" t="d">
        <x:v>2027-03-07T00:00:00.000Z</x:v>
      </x:c>
      <x:c r="D26" s="9" t="str">
        <x:v>GDB и assembly через Time to learn x86 ASM and gdb</x:v>
      </x:c>
      <x:c r="E26" s="11" t="n">
        <x:f>SUMIFS('Спорт'!$D$5:$D$307,'Спорт'!$C$5:$C$307,A26)</x:f>
        <x:v>66</x:v>
      </x:c>
      <x:c r="F26" s="11" t="str">
        <x:f>IF(G26=0,"",SUMIFS('Спорт'!$H$5:$H$307,'Спорт'!$C$5:$C$307,A26))</x:f>
      </x:c>
      <x:c r="G26" s="9" t="n">
        <x:f>COUNTIFS('Спорт'!$C$5:$C$307,A26,'Спорт'!$H$5:$H$307,"&lt;&gt;")</x:f>
        <x:v>0</x:v>
      </x:c>
      <x:c r="H26" s="9" t="n">
        <x:f>COUNTIFS('Red Team'!$C$5:$C$307,A26,'Red Team'!$D$5:$D$307,"&lt;&gt;пауза")</x:f>
        <x:v>6</x:v>
      </x:c>
      <x:c r="I26" s="9" t="n">
        <x:f>COUNTIFS('Red Team'!$C$5:$C$307,A26,'Red Team'!$M$5:$M$307,"выполнено",'Red Team'!$N$5:$N$307,"&lt;&gt;",'Red Team'!$D$5:$D$307,"&lt;&gt;пауза")</x:f>
        <x:v>0</x:v>
      </x:c>
      <x:c r="J26" s="9" t="n">
        <x:f>COUNTIFS('Спорт'!$C$5:$C$307,A26,'Спорт'!$F$5:$F$307,"&lt;&gt;")</x:f>
        <x:v>2</x:v>
      </x:c>
      <x:c r="K26" s="9" t="n">
        <x:f>COUNTIFS('Спорт'!$C$5:$C$307,A26,'Спорт'!$P$5:$P$307,"выполнено",'Спорт'!$F$5:$F$307,"&lt;&gt;")</x:f>
        <x:v>0</x:v>
      </x:c>
      <x:c r="L26" s="9" t="str">
        <x:v>R11 и таблица состояния с контролем</x:v>
      </x:c>
    </x:row>
    <x:row r="27" ht="15" hidden="0" customHeight="1">
      <x:c r="A27" s="9" t="n">
        <x:v>28</x:v>
      </x:c>
      <x:c r="B27" s="10" t="d">
        <x:v>2027-03-08T00:00:00.000Z</x:v>
      </x:c>
      <x:c r="C27" s="10" t="d">
        <x:v>2027-03-14T00:00:00.000Z</x:v>
      </x:c>
      <x:c r="D27" s="9" t="str">
        <x:v>Статический reverse через Can you see through the star</x:v>
      </x:c>
      <x:c r="E27" s="11" t="n">
        <x:f>SUMIFS('Спорт'!$D$5:$D$307,'Спорт'!$C$5:$C$307,A27)</x:f>
        <x:v>68</x:v>
      </x:c>
      <x:c r="F27" s="11" t="str">
        <x:f>IF(G27=0,"",SUMIFS('Спорт'!$H$5:$H$307,'Спорт'!$C$5:$C$307,A27))</x:f>
      </x:c>
      <x:c r="G27" s="9" t="n">
        <x:f>COUNTIFS('Спорт'!$C$5:$C$307,A27,'Спорт'!$H$5:$H$307,"&lt;&gt;")</x:f>
        <x:v>0</x:v>
      </x:c>
      <x:c r="H27" s="9" t="n">
        <x:f>COUNTIFS('Red Team'!$C$5:$C$307,A27,'Red Team'!$D$5:$D$307,"&lt;&gt;пауза")</x:f>
        <x:v>6</x:v>
      </x:c>
      <x:c r="I27" s="9" t="n">
        <x:f>COUNTIFS('Red Team'!$C$5:$C$307,A27,'Red Team'!$M$5:$M$307,"выполнено",'Red Team'!$N$5:$N$307,"&lt;&gt;",'Red Team'!$D$5:$D$307,"&lt;&gt;пауза")</x:f>
        <x:v>0</x:v>
      </x:c>
      <x:c r="J27" s="9" t="n">
        <x:f>COUNTIFS('Спорт'!$C$5:$C$307,A27,'Спорт'!$F$5:$F$307,"&lt;&gt;")</x:f>
        <x:v>2</x:v>
      </x:c>
      <x:c r="K27" s="9" t="n">
        <x:f>COUNTIFS('Спорт'!$C$5:$C$307,A27,'Спорт'!$P$5:$P$307,"выполнено",'Спорт'!$F$5:$F$307,"&lt;&gt;")</x:f>
        <x:v>0</x:v>
      </x:c>
      <x:c r="L27" s="9" t="str">
        <x:v>R110 восстановленная функция и два контроля</x:v>
      </x:c>
    </x:row>
    <x:row r="28" ht="15" hidden="0" customHeight="1">
      <x:c r="A28" s="9" t="n">
        <x:v>29</x:v>
      </x:c>
      <x:c r="B28" s="10" t="d">
        <x:v>2027-03-15T00:00:00.000Z</x:v>
      </x:c>
      <x:c r="C28" s="10" t="d">
        <x:v>2027-03-21T00:00:00.000Z</x:v>
      </x:c>
      <x:c r="D28" s="9" t="str">
        <x:v>Динамический reverse Easy encryptor и VM Friendly</x:v>
      </x:c>
      <x:c r="E28" s="11" t="n">
        <x:f>SUMIFS('Спорт'!$D$5:$D$307,'Спорт'!$C$5:$C$307,A28)</x:f>
        <x:v>50</x:v>
      </x:c>
      <x:c r="F28" s="11" t="str">
        <x:f>IF(G28=0,"",SUMIFS('Спорт'!$H$5:$H$307,'Спорт'!$C$5:$C$307,A28))</x:f>
      </x:c>
      <x:c r="G28" s="9" t="n">
        <x:f>COUNTIFS('Спорт'!$C$5:$C$307,A28,'Спорт'!$H$5:$H$307,"&lt;&gt;")</x:f>
        <x:v>0</x:v>
      </x:c>
      <x:c r="H28" s="9" t="n">
        <x:f>COUNTIFS('Red Team'!$C$5:$C$307,A28,'Red Team'!$D$5:$D$307,"&lt;&gt;пауза")</x:f>
        <x:v>7</x:v>
      </x:c>
      <x:c r="I28" s="9" t="n">
        <x:f>COUNTIFS('Red Team'!$C$5:$C$307,A28,'Red Team'!$M$5:$M$307,"выполнено",'Red Team'!$N$5:$N$307,"&lt;&gt;",'Red Team'!$D$5:$D$307,"&lt;&gt;пауза")</x:f>
        <x:v>0</x:v>
      </x:c>
      <x:c r="J28" s="9" t="n">
        <x:f>COUNTIFS('Спорт'!$C$5:$C$307,A28,'Спорт'!$F$5:$F$307,"&lt;&gt;")</x:f>
        <x:v>2</x:v>
      </x:c>
      <x:c r="K28" s="9" t="n">
        <x:f>COUNTIFS('Спорт'!$C$5:$C$307,A28,'Спорт'!$P$5:$P$307,"выполнено",'Спорт'!$F$5:$F$307,"&lt;&gt;")</x:f>
        <x:v>0</x:v>
      </x:c>
      <x:c r="L28" s="9" t="str">
        <x:v>Модель преобразования, контекст VM и динамический контроль своего ELF</x:v>
      </x:c>
    </x:row>
    <x:row r="29" ht="15" hidden="0" customHeight="1">
      <x:c r="A29" s="9" t="n">
        <x:v>30</x:v>
      </x:c>
      <x:c r="B29" s="10" t="d">
        <x:v>2027-03-22T00:00:00.000Z</x:v>
      </x:c>
      <x:c r="C29" s="10" t="d">
        <x:v>2027-03-28T00:00:00.000Z</x:v>
      </x:c>
      <x:c r="D29" s="9" t="str">
        <x:v>HackMyVM Reversteg и контроль анализа одного бинарника</x:v>
      </x:c>
      <x:c r="E29" s="11" t="n">
        <x:f>SUMIFS('Спорт'!$D$5:$D$307,'Спорт'!$C$5:$C$307,A29)</x:f>
        <x:v>70</x:v>
      </x:c>
      <x:c r="F29" s="11" t="str">
        <x:f>IF(G29=0,"",SUMIFS('Спорт'!$H$5:$H$307,'Спорт'!$C$5:$C$307,A29))</x:f>
      </x:c>
      <x:c r="G29" s="9" t="n">
        <x:f>COUNTIFS('Спорт'!$C$5:$C$307,A29,'Спорт'!$H$5:$H$307,"&lt;&gt;")</x:f>
        <x:v>0</x:v>
      </x:c>
      <x:c r="H29" s="9" t="n">
        <x:f>COUNTIFS('Red Team'!$C$5:$C$307,A29,'Red Team'!$D$5:$D$307,"&lt;&gt;пауза")</x:f>
        <x:v>6</x:v>
      </x:c>
      <x:c r="I29" s="9" t="n">
        <x:f>COUNTIFS('Red Team'!$C$5:$C$307,A29,'Red Team'!$M$5:$M$307,"выполнено",'Red Team'!$N$5:$N$307,"&lt;&gt;",'Red Team'!$D$5:$D$307,"&lt;&gt;пауза")</x:f>
        <x:v>0</x:v>
      </x:c>
      <x:c r="J29" s="9" t="n">
        <x:f>COUNTIFS('Спорт'!$C$5:$C$307,A29,'Спорт'!$F$5:$F$307,"&lt;&gt;")</x:f>
        <x:v>2</x:v>
      </x:c>
      <x:c r="K29" s="9" t="n">
        <x:f>COUNTIFS('Спорт'!$C$5:$C$307,A29,'Спорт'!$P$5:$P$307,"выполнено",'Спорт'!$F$5:$F$307,"&lt;&gt;")</x:f>
        <x:v>0</x:v>
      </x:c>
      <x:c r="L29" s="9" t="str">
        <x:v>Проверенный VM-шаг и отдельно подтверждённое правило функции</x:v>
      </x:c>
    </x:row>
    <x:row r="30" ht="15" hidden="0" customHeight="1">
      <x:c r="A30" s="9" t="n">
        <x:v>31</x:v>
      </x:c>
      <x:c r="B30" s="10" t="d">
        <x:v>2027-03-29T00:00:00.000Z</x:v>
      </x:c>
      <x:c r="C30" s="10" t="d">
        <x:v>2027-04-04T00:00:00.000Z</x:v>
      </x:c>
      <x:c r="D30" s="9" t="str">
        <x:v>Pwn Season: Easy Overflow 1 и измеренное состояние stack</x:v>
      </x:c>
      <x:c r="E30" s="11" t="n">
        <x:f>SUMIFS('Спорт'!$D$5:$D$307,'Спорт'!$C$5:$C$307,A30)</x:f>
        <x:v>74</x:v>
      </x:c>
      <x:c r="F30" s="11" t="str">
        <x:f>IF(G30=0,"",SUMIFS('Спорт'!$H$5:$H$307,'Спорт'!$C$5:$C$307,A30))</x:f>
      </x:c>
      <x:c r="G30" s="9" t="n">
        <x:f>COUNTIFS('Спорт'!$C$5:$C$307,A30,'Спорт'!$H$5:$H$307,"&lt;&gt;")</x:f>
        <x:v>0</x:v>
      </x:c>
      <x:c r="H30" s="9" t="n">
        <x:f>COUNTIFS('Red Team'!$C$5:$C$307,A30,'Red Team'!$D$5:$D$307,"&lt;&gt;пауза")</x:f>
        <x:v>6</x:v>
      </x:c>
      <x:c r="I30" s="9" t="n">
        <x:f>COUNTIFS('Red Team'!$C$5:$C$307,A30,'Red Team'!$M$5:$M$307,"выполнено",'Red Team'!$N$5:$N$307,"&lt;&gt;",'Red Team'!$D$5:$D$307,"&lt;&gt;пауза")</x:f>
        <x:v>0</x:v>
      </x:c>
      <x:c r="J30" s="9" t="n">
        <x:f>COUNTIFS('Спорт'!$C$5:$C$307,A30,'Спорт'!$F$5:$F$307,"&lt;&gt;")</x:f>
        <x:v>2</x:v>
      </x:c>
      <x:c r="K30" s="9" t="n">
        <x:f>COUNTIFS('Спорт'!$C$5:$C$307,A30,'Спорт'!$P$5:$P$307,"выполнено",'Спорт'!$F$5:$F$307,"&lt;&gt;")</x:f>
        <x:v>0</x:v>
      </x:c>
      <x:c r="L30" s="9" t="str">
        <x:v>Один ограниченный lab-результат и объяснение причины</x:v>
      </x:c>
    </x:row>
    <x:row r="31" ht="15" hidden="0" customHeight="1">
      <x:c r="A31" s="9" t="n">
        <x:v>32</x:v>
      </x:c>
      <x:c r="B31" s="10" t="d">
        <x:v>2027-04-05T00:00:00.000Z</x:v>
      </x:c>
      <x:c r="C31" s="10" t="d">
        <x:v>2027-04-11T00:00:00.000Z</x:v>
      </x:c>
      <x:c r="D31" s="9" t="str">
        <x:v>Защиты ELF и границы CFI</x:v>
      </x:c>
      <x:c r="E31" s="11" t="n">
        <x:f>SUMIFS('Спорт'!$D$5:$D$307,'Спорт'!$C$5:$C$307,A31)</x:f>
        <x:v>76</x:v>
      </x:c>
      <x:c r="F31" s="11" t="str">
        <x:f>IF(G31=0,"",SUMIFS('Спорт'!$H$5:$H$307,'Спорт'!$C$5:$C$307,A31))</x:f>
      </x:c>
      <x:c r="G31" s="9" t="n">
        <x:f>COUNTIFS('Спорт'!$C$5:$C$307,A31,'Спорт'!$H$5:$H$307,"&lt;&gt;")</x:f>
        <x:v>0</x:v>
      </x:c>
      <x:c r="H31" s="9" t="n">
        <x:f>COUNTIFS('Red Team'!$C$5:$C$307,A31,'Red Team'!$D$5:$D$307,"&lt;&gt;пауза")</x:f>
        <x:v>6</x:v>
      </x:c>
      <x:c r="I31" s="9" t="n">
        <x:f>COUNTIFS('Red Team'!$C$5:$C$307,A31,'Red Team'!$M$5:$M$307,"выполнено",'Red Team'!$N$5:$N$307,"&lt;&gt;",'Red Team'!$D$5:$D$307,"&lt;&gt;пауза")</x:f>
        <x:v>0</x:v>
      </x:c>
      <x:c r="J31" s="9" t="n">
        <x:f>COUNTIFS('Спорт'!$C$5:$C$307,A31,'Спорт'!$F$5:$F$307,"&lt;&gt;")</x:f>
        <x:v>2</x:v>
      </x:c>
      <x:c r="K31" s="9" t="n">
        <x:f>COUNTIFS('Спорт'!$C$5:$C$307,A31,'Спорт'!$P$5:$P$307,"выполнено",'Спорт'!$F$5:$F$307,"&lt;&gt;")</x:f>
        <x:v>0</x:v>
      </x:c>
      <x:c r="L31" s="9" t="str">
        <x:v>Матрица наблюдаемых защит и неподтверждённых условий</x:v>
      </x:c>
    </x:row>
    <x:row r="32" ht="15" hidden="0" customHeight="1">
      <x:c r="A32" s="9" t="n">
        <x:v>33</x:v>
      </x:c>
      <x:c r="B32" s="10" t="d">
        <x:v>2027-04-12T00:00:00.000Z</x:v>
      </x:c>
      <x:c r="C32" s="10" t="d">
        <x:v>2027-04-18T00:00:00.000Z</x:v>
      </x:c>
      <x:c r="D32" s="9" t="str">
        <x:v>Reverse/Pwn/Exploit Format strings: read/write primitives</x:v>
      </x:c>
      <x:c r="E32" s="11" t="n">
        <x:f>SUMIFS('Спорт'!$D$5:$D$307,'Спорт'!$C$5:$C$307,A32)</x:f>
        <x:v>58</x:v>
      </x:c>
      <x:c r="F32" s="11" t="str">
        <x:f>IF(G32=0,"",SUMIFS('Спорт'!$H$5:$H$307,'Спорт'!$C$5:$C$307,A32))</x:f>
      </x:c>
      <x:c r="G32" s="9" t="n">
        <x:f>COUNTIFS('Спорт'!$C$5:$C$307,A32,'Спорт'!$H$5:$H$307,"&lt;&gt;")</x:f>
        <x:v>0</x:v>
      </x:c>
      <x:c r="H32" s="9" t="n">
        <x:f>COUNTIFS('Red Team'!$C$5:$C$307,A32,'Red Team'!$D$5:$D$307,"&lt;&gt;пауза")</x:f>
        <x:v>6</x:v>
      </x:c>
      <x:c r="I32" s="9" t="n">
        <x:f>COUNTIFS('Red Team'!$C$5:$C$307,A32,'Red Team'!$M$5:$M$307,"выполнено",'Red Team'!$N$5:$N$307,"&lt;&gt;",'Red Team'!$D$5:$D$307,"&lt;&gt;пауза")</x:f>
        <x:v>0</x:v>
      </x:c>
      <x:c r="J32" s="9" t="n">
        <x:f>COUNTIFS('Спорт'!$C$5:$C$307,A32,'Спорт'!$F$5:$F$307,"&lt;&gt;")</x:f>
        <x:v>2</x:v>
      </x:c>
      <x:c r="K32" s="9" t="n">
        <x:f>COUNTIFS('Спорт'!$C$5:$C$307,A32,'Спорт'!$P$5:$P$307,"выполнено",'Спорт'!$F$5:$F$307,"&lt;&gt;")</x:f>
        <x:v>0</x:v>
      </x:c>
      <x:c r="L32" s="9" t="str">
        <x:v>format-string cause + patch</x:v>
      </x:c>
    </x:row>
    <x:row r="33" ht="15" hidden="0" customHeight="1">
      <x:c r="A33" s="9" t="n">
        <x:v>34</x:v>
      </x:c>
      <x:c r="B33" s="10" t="d">
        <x:v>2027-04-19T00:00:00.000Z</x:v>
      </x:c>
      <x:c r="C33" s="10" t="d">
        <x:v>2027-04-25T00:00:00.000Z</x:v>
      </x:c>
      <x:c r="D33" s="9" t="str">
        <x:v>Reverse/Pwn/Exploit ret2libc и утечки адресов</x:v>
      </x:c>
      <x:c r="E33" s="11" t="n">
        <x:f>SUMIFS('Спорт'!$D$5:$D$307,'Спорт'!$C$5:$C$307,A33)</x:f>
        <x:v>78</x:v>
      </x:c>
      <x:c r="F33" s="11" t="str">
        <x:f>IF(G33=0,"",SUMIFS('Спорт'!$H$5:$H$307,'Спорт'!$C$5:$C$307,A33))</x:f>
      </x:c>
      <x:c r="G33" s="9" t="n">
        <x:f>COUNTIFS('Спорт'!$C$5:$C$307,A33,'Спорт'!$H$5:$H$307,"&lt;&gt;")</x:f>
        <x:v>0</x:v>
      </x:c>
      <x:c r="H33" s="9" t="n">
        <x:f>COUNTIFS('Red Team'!$C$5:$C$307,A33,'Red Team'!$D$5:$D$307,"&lt;&gt;пауза")</x:f>
        <x:v>6</x:v>
      </x:c>
      <x:c r="I33" s="9" t="n">
        <x:f>COUNTIFS('Red Team'!$C$5:$C$307,A33,'Red Team'!$M$5:$M$307,"выполнено",'Red Team'!$N$5:$N$307,"&lt;&gt;",'Red Team'!$D$5:$D$307,"&lt;&gt;пауза")</x:f>
        <x:v>0</x:v>
      </x:c>
      <x:c r="J33" s="9" t="n">
        <x:f>COUNTIFS('Спорт'!$C$5:$C$307,A33,'Спорт'!$F$5:$F$307,"&lt;&gt;")</x:f>
        <x:v>2</x:v>
      </x:c>
      <x:c r="K33" s="9" t="n">
        <x:f>COUNTIFS('Спорт'!$C$5:$C$307,A33,'Спорт'!$P$5:$P$307,"выполнено",'Спорт'!$F$5:$F$307,"&lt;&gt;")</x:f>
        <x:v>0</x:v>
      </x:c>
      <x:c r="L33" s="9" t="str">
        <x:v>leak validation + environment record</x:v>
      </x:c>
    </x:row>
    <x:row r="34" ht="15" hidden="0" customHeight="1">
      <x:c r="A34" s="9" t="n">
        <x:v>35</x:v>
      </x:c>
      <x:c r="B34" s="10" t="d">
        <x:v>2027-04-26T00:00:00.000Z</x:v>
      </x:c>
      <x:c r="C34" s="10" t="d">
        <x:v>2027-05-02T00:00:00.000Z</x:v>
      </x:c>
      <x:c r="D34" s="9" t="str">
        <x:v>Reverse/Pwn/Exploit ROP: chains, calling convention и stack alignment</x:v>
      </x:c>
      <x:c r="E34" s="11" t="n">
        <x:f>SUMIFS('Спорт'!$D$5:$D$307,'Спорт'!$C$5:$C$307,A34)</x:f>
        <x:v>62</x:v>
      </x:c>
      <x:c r="F34" s="11" t="str">
        <x:f>IF(G34=0,"",SUMIFS('Спорт'!$H$5:$H$307,'Спорт'!$C$5:$C$307,A34))</x:f>
      </x:c>
      <x:c r="G34" s="9" t="n">
        <x:f>COUNTIFS('Спорт'!$C$5:$C$307,A34,'Спорт'!$H$5:$H$307,"&lt;&gt;")</x:f>
        <x:v>0</x:v>
      </x:c>
      <x:c r="H34" s="9" t="n">
        <x:f>COUNTIFS('Red Team'!$C$5:$C$307,A34,'Red Team'!$D$5:$D$307,"&lt;&gt;пауза")</x:f>
        <x:v>6</x:v>
      </x:c>
      <x:c r="I34" s="9" t="n">
        <x:f>COUNTIFS('Red Team'!$C$5:$C$307,A34,'Red Team'!$M$5:$M$307,"выполнено",'Red Team'!$N$5:$N$307,"&lt;&gt;",'Red Team'!$D$5:$D$307,"&lt;&gt;пауза")</x:f>
        <x:v>0</x:v>
      </x:c>
      <x:c r="J34" s="9" t="n">
        <x:f>COUNTIFS('Спорт'!$C$5:$C$307,A34,'Спорт'!$F$5:$F$307,"&lt;&gt;")</x:f>
        <x:v>2</x:v>
      </x:c>
      <x:c r="K34" s="9" t="n">
        <x:f>COUNTIFS('Спорт'!$C$5:$C$307,A34,'Спорт'!$P$5:$P$307,"выполнено",'Спорт'!$F$5:$F$307,"&lt;&gt;")</x:f>
        <x:v>0</x:v>
      </x:c>
      <x:c r="L34" s="9" t="str">
        <x:v>ROP chain plan</x:v>
      </x:c>
    </x:row>
    <x:row r="35" ht="15" hidden="0" customHeight="1">
      <x:c r="A35" s="9" t="n">
        <x:v>36</x:v>
      </x:c>
      <x:c r="B35" s="10" t="d">
        <x:v>2027-05-03T00:00:00.000Z</x:v>
      </x:c>
      <x:c r="C35" s="10" t="d">
        <x:v>2027-05-09T00:00:00.000Z</x:v>
      </x:c>
      <x:c r="D35" s="9" t="str">
        <x:v>Heap allocator владение памятью и сравнение с Rust</x:v>
      </x:c>
      <x:c r="E35" s="11" t="n">
        <x:f>SUMIFS('Спорт'!$D$5:$D$307,'Спорт'!$C$5:$C$307,A35)</x:f>
        <x:v>84</x:v>
      </x:c>
      <x:c r="F35" s="11" t="str">
        <x:f>IF(G35=0,"",SUMIFS('Спорт'!$H$5:$H$307,'Спорт'!$C$5:$C$307,A35))</x:f>
      </x:c>
      <x:c r="G35" s="9" t="n">
        <x:f>COUNTIFS('Спорт'!$C$5:$C$307,A35,'Спорт'!$H$5:$H$307,"&lt;&gt;")</x:f>
        <x:v>0</x:v>
      </x:c>
      <x:c r="H35" s="9" t="n">
        <x:f>COUNTIFS('Red Team'!$C$5:$C$307,A35,'Red Team'!$D$5:$D$307,"&lt;&gt;пауза")</x:f>
        <x:v>5</x:v>
      </x:c>
      <x:c r="I35" s="9" t="n">
        <x:f>COUNTIFS('Red Team'!$C$5:$C$307,A35,'Red Team'!$M$5:$M$307,"выполнено",'Red Team'!$N$5:$N$307,"&lt;&gt;",'Red Team'!$D$5:$D$307,"&lt;&gt;пауза")</x:f>
        <x:v>0</x:v>
      </x:c>
      <x:c r="J35" s="9" t="n">
        <x:f>COUNTIFS('Спорт'!$C$5:$C$307,A35,'Спорт'!$F$5:$F$307,"&lt;&gt;")</x:f>
        <x:v>2</x:v>
      </x:c>
      <x:c r="K35" s="9" t="n">
        <x:f>COUNTIFS('Спорт'!$C$5:$C$307,A35,'Спорт'!$P$5:$P$307,"выполнено",'Спорт'!$F$5:$F$307,"&lt;&gt;")</x:f>
        <x:v>0</x:v>
      </x:c>
      <x:c r="L35" s="9" t="str">
        <x:v>R176 и схема конкретного allocator</x:v>
      </x:c>
    </x:row>
    <x:row r="36" ht="15" hidden="0" customHeight="1">
      <x:c r="A36" s="9" t="n">
        <x:v>37</x:v>
      </x:c>
      <x:c r="B36" s="10" t="d">
        <x:v>2027-05-10T00:00:00.000Z</x:v>
      </x:c>
      <x:c r="C36" s="10" t="d">
        <x:v>2027-05-16T00:00:00.000Z</x:v>
      </x:c>
      <x:c r="D36" s="9" t="str">
        <x:v>Reverse/Pwn/Exploit UAF, double free и tcache: учебные primitives</x:v>
      </x:c>
      <x:c r="E36" s="11" t="n">
        <x:f>SUMIFS('Спорт'!$D$5:$D$307,'Спорт'!$C$5:$C$307,A36)</x:f>
        <x:v>64</x:v>
      </x:c>
      <x:c r="F36" s="11" t="str">
        <x:f>IF(G36=0,"",SUMIFS('Спорт'!$H$5:$H$307,'Спорт'!$C$5:$C$307,A36))</x:f>
      </x:c>
      <x:c r="G36" s="9" t="n">
        <x:f>COUNTIFS('Спорт'!$C$5:$C$307,A36,'Спорт'!$H$5:$H$307,"&lt;&gt;")</x:f>
        <x:v>0</x:v>
      </x:c>
      <x:c r="H36" s="9" t="n">
        <x:f>COUNTIFS('Red Team'!$C$5:$C$307,A36,'Red Team'!$D$5:$D$307,"&lt;&gt;пауза")</x:f>
        <x:v>6</x:v>
      </x:c>
      <x:c r="I36" s="9" t="n">
        <x:f>COUNTIFS('Red Team'!$C$5:$C$307,A36,'Red Team'!$M$5:$M$307,"выполнено",'Red Team'!$N$5:$N$307,"&lt;&gt;",'Red Team'!$D$5:$D$307,"&lt;&gt;пауза")</x:f>
        <x:v>0</x:v>
      </x:c>
      <x:c r="J36" s="9" t="n">
        <x:f>COUNTIFS('Спорт'!$C$5:$C$307,A36,'Спорт'!$F$5:$F$307,"&lt;&gt;")</x:f>
        <x:v>2</x:v>
      </x:c>
      <x:c r="K36" s="9" t="n">
        <x:f>COUNTIFS('Спорт'!$C$5:$C$307,A36,'Спорт'!$P$5:$P$307,"выполнено",'Спорт'!$F$5:$F$307,"&lt;&gt;")</x:f>
        <x:v>0</x:v>
      </x:c>
      <x:c r="L36" s="9" t="str">
        <x:v>heap primitive note</x:v>
      </x:c>
    </x:row>
    <x:row r="37" ht="15" hidden="0" customHeight="1">
      <x:c r="A37" s="9" t="n">
        <x:v>38</x:v>
      </x:c>
      <x:c r="B37" s="10" t="d">
        <x:v>2027-05-17T00:00:00.000Z</x:v>
      </x:c>
      <x:c r="C37" s="10" t="d">
        <x:v>2027-05-23T00:00:00.000Z</x:v>
      </x:c>
      <x:c r="D37" s="9" t="str">
        <x:v>Coverage guided fuzzing и проверка исправления</x:v>
      </x:c>
      <x:c r="E37" s="11" t="n">
        <x:f>SUMIFS('Спорт'!$D$5:$D$307,'Спорт'!$C$5:$C$307,A37)</x:f>
        <x:v>94</x:v>
      </x:c>
      <x:c r="F37" s="11" t="str">
        <x:f>IF(G37=0,"",SUMIFS('Спорт'!$H$5:$H$307,'Спорт'!$C$5:$C$307,A37))</x:f>
      </x:c>
      <x:c r="G37" s="9" t="n">
        <x:f>COUNTIFS('Спорт'!$C$5:$C$307,A37,'Спорт'!$H$5:$H$307,"&lt;&gt;")</x:f>
        <x:v>0</x:v>
      </x:c>
      <x:c r="H37" s="9" t="n">
        <x:f>COUNTIFS('Red Team'!$C$5:$C$307,A37,'Red Team'!$D$5:$D$307,"&lt;&gt;пауза")</x:f>
        <x:v>5</x:v>
      </x:c>
      <x:c r="I37" s="9" t="n">
        <x:f>COUNTIFS('Red Team'!$C$5:$C$307,A37,'Red Team'!$M$5:$M$307,"выполнено",'Red Team'!$N$5:$N$307,"&lt;&gt;",'Red Team'!$D$5:$D$307,"&lt;&gt;пауза")</x:f>
        <x:v>0</x:v>
      </x:c>
      <x:c r="J37" s="9" t="n">
        <x:f>COUNTIFS('Спорт'!$C$5:$C$307,A37,'Спорт'!$F$5:$F$307,"&lt;&gt;")</x:f>
        <x:v>2</x:v>
      </x:c>
      <x:c r="K37" s="9" t="n">
        <x:f>COUNTIFS('Спорт'!$C$5:$C$307,A37,'Спорт'!$P$5:$P$307,"выполнено",'Спорт'!$F$5:$F$307,"&lt;&gt;")</x:f>
        <x:v>0</x:v>
      </x:c>
      <x:c r="L37" s="9" t="str">
        <x:v>Один минимальный случай и retest исправления</x:v>
      </x:c>
    </x:row>
    <x:row r="38" ht="15" hidden="0" customHeight="1">
      <x:c r="A38" s="9" t="n">
        <x:v>39</x:v>
      </x:c>
      <x:c r="B38" s="10" t="d">
        <x:v>2027-05-24T00:00:00.000Z</x:v>
      </x:c>
      <x:c r="C38" s="10" t="d">
        <x:v>2027-05-30T00:00:00.000Z</x:v>
      </x:c>
      <x:c r="D38" s="9" t="str">
        <x:v>Пиковая спортивная неделя Только ретроспектива; нет новой теории и практики</x:v>
      </x:c>
      <x:c r="E38" s="11" t="n">
        <x:f>SUMIFS('Спорт'!$D$5:$D$307,'Спорт'!$C$5:$C$307,A38)</x:f>
        <x:v>62</x:v>
      </x:c>
      <x:c r="F38" s="11" t="str">
        <x:f>IF(G38=0,"",SUMIFS('Спорт'!$H$5:$H$307,'Спорт'!$C$5:$C$307,A38))</x:f>
      </x:c>
      <x:c r="G38" s="9" t="n">
        <x:f>COUNTIFS('Спорт'!$C$5:$C$307,A38,'Спорт'!$H$5:$H$307,"&lt;&gt;")</x:f>
        <x:v>0</x:v>
      </x:c>
      <x:c r="H38" s="9" t="n">
        <x:f>COUNTIFS('Red Team'!$C$5:$C$307,A38,'Red Team'!$D$5:$D$307,"&lt;&gt;пауза")</x:f>
        <x:v>6</x:v>
      </x:c>
      <x:c r="I38" s="9" t="n">
        <x:f>COUNTIFS('Red Team'!$C$5:$C$307,A38,'Red Team'!$M$5:$M$307,"выполнено",'Red Team'!$N$5:$N$307,"&lt;&gt;",'Red Team'!$D$5:$D$307,"&lt;&gt;пауза")</x:f>
        <x:v>0</x:v>
      </x:c>
      <x:c r="J38" s="9" t="n">
        <x:f>COUNTIFS('Спорт'!$C$5:$C$307,A38,'Спорт'!$F$5:$F$307,"&lt;&gt;")</x:f>
        <x:v>2</x:v>
      </x:c>
      <x:c r="K38" s="9" t="n">
        <x:f>COUNTIFS('Спорт'!$C$5:$C$307,A38,'Спорт'!$P$5:$P$307,"выполнено",'Спорт'!$F$5:$F$307,"&lt;&gt;")</x:f>
        <x:v>0</x:v>
      </x:c>
      <x:c r="L38" s="9" t="str">
        <x:v>ретроспектива без новой темы</x:v>
      </x:c>
    </x:row>
    <x:row r="39" ht="15" hidden="0" customHeight="1">
      <x:c r="A39" s="9" t="n">
        <x:v>40</x:v>
      </x:c>
      <x:c r="B39" s="10" t="d">
        <x:v>2027-05-31T00:00:00.000Z</x:v>
      </x:c>
      <x:c r="C39" s="10" t="d">
        <x:v>2027-06-06T00:00:00.000Z</x:v>
      </x:c>
      <x:c r="D39" s="9" t="str">
        <x:v>PE и Windows x86 reverse с сопоставлением x64</x:v>
      </x:c>
      <x:c r="E39" s="11" t="n">
        <x:f>SUMIFS('Спорт'!$D$5:$D$307,'Спорт'!$C$5:$C$307,A39)</x:f>
        <x:v>99</x:v>
      </x:c>
      <x:c r="F39" s="11" t="str">
        <x:f>IF(G39=0,"",SUMIFS('Спорт'!$H$5:$H$307,'Спорт'!$C$5:$C$307,A39))</x:f>
      </x:c>
      <x:c r="G39" s="9" t="n">
        <x:f>COUNTIFS('Спорт'!$C$5:$C$307,A39,'Спорт'!$H$5:$H$307,"&lt;&gt;")</x:f>
        <x:v>0</x:v>
      </x:c>
      <x:c r="H39" s="9" t="n">
        <x:f>COUNTIFS('Red Team'!$C$5:$C$307,A39,'Red Team'!$D$5:$D$307,"&lt;&gt;пауза")</x:f>
        <x:v>5</x:v>
      </x:c>
      <x:c r="I39" s="9" t="n">
        <x:f>COUNTIFS('Red Team'!$C$5:$C$307,A39,'Red Team'!$M$5:$M$307,"выполнено",'Red Team'!$N$5:$N$307,"&lt;&gt;",'Red Team'!$D$5:$D$307,"&lt;&gt;пауза")</x:f>
        <x:v>0</x:v>
      </x:c>
      <x:c r="J39" s="9" t="n">
        <x:f>COUNTIFS('Спорт'!$C$5:$C$307,A39,'Спорт'!$F$5:$F$307,"&lt;&gt;")</x:f>
        <x:v>2</x:v>
      </x:c>
      <x:c r="K39" s="9" t="n">
        <x:f>COUNTIFS('Спорт'!$C$5:$C$307,A39,'Спорт'!$P$5:$P$307,"выполнено",'Спорт'!$F$5:$F$307,"&lt;&gt;")</x:f>
        <x:v>0</x:v>
      </x:c>
      <x:c r="L39" s="9" t="str">
        <x:v>RN02, RVA/file offset, фактический ABI и контроль</x:v>
      </x:c>
    </x:row>
    <x:row r="40" ht="15" hidden="0" customHeight="1">
      <x:c r="A40" s="9" t="n">
        <x:v>41</x:v>
      </x:c>
      <x:c r="B40" s="10" t="d">
        <x:v>2027-06-07T00:00:00.000Z</x:v>
      </x:c>
      <x:c r="C40" s="10" t="d">
        <x:v>2027-06-13T00:00:00.000Z</x:v>
      </x:c>
      <x:c r="D40" s="9" t="str">
        <x:v>Исследование исправленного дефекта и достижимость</x:v>
      </x:c>
      <x:c r="E40" s="11" t="n">
        <x:f>SUMIFS('Спорт'!$D$5:$D$307,'Спорт'!$C$5:$C$307,A40)</x:f>
        <x:v>58</x:v>
      </x:c>
      <x:c r="F40" s="11" t="str">
        <x:f>IF(G40=0,"",SUMIFS('Спорт'!$H$5:$H$307,'Спорт'!$C$5:$C$307,A40))</x:f>
      </x:c>
      <x:c r="G40" s="9" t="n">
        <x:f>COUNTIFS('Спорт'!$C$5:$C$307,A40,'Спорт'!$H$5:$H$307,"&lt;&gt;")</x:f>
        <x:v>0</x:v>
      </x:c>
      <x:c r="H40" s="9" t="n">
        <x:f>COUNTIFS('Red Team'!$C$5:$C$307,A40,'Red Team'!$D$5:$D$307,"&lt;&gt;пауза")</x:f>
        <x:v>6</x:v>
      </x:c>
      <x:c r="I40" s="9" t="n">
        <x:f>COUNTIFS('Red Team'!$C$5:$C$307,A40,'Red Team'!$M$5:$M$307,"выполнено",'Red Team'!$N$5:$N$307,"&lt;&gt;",'Red Team'!$D$5:$D$307,"&lt;&gt;пауза")</x:f>
        <x:v>0</x:v>
      </x:c>
      <x:c r="J40" s="9" t="n">
        <x:f>COUNTIFS('Спорт'!$C$5:$C$307,A40,'Спорт'!$F$5:$F$307,"&lt;&gt;")</x:f>
        <x:v>2</x:v>
      </x:c>
      <x:c r="K40" s="9" t="n">
        <x:f>COUNTIFS('Спорт'!$C$5:$C$307,A40,'Спорт'!$P$5:$P$307,"выполнено",'Спорт'!$F$5:$F$307,"&lt;&gt;")</x:f>
        <x:v>0</x:v>
      </x:c>
      <x:c r="L40" s="9" t="str">
        <x:v>Карточка advisory patch и локальной модели</x:v>
      </x:c>
    </x:row>
    <x:row r="41" ht="15" hidden="0" customHeight="1">
      <x:c r="A41" s="9" t="n">
        <x:v>42</x:v>
      </x:c>
      <x:c r="B41" s="10" t="d">
        <x:v>2027-06-14T00:00:00.000Z</x:v>
      </x:c>
      <x:c r="C41" s="10" t="d">
        <x:v>2027-06-20T00:00:00.000Z</x:v>
      </x:c>
      <x:c r="D41" s="9" t="str">
        <x:v>Binary capstone Level1 Pwnage Linux x86_64</x:v>
      </x:c>
      <x:c r="E41" s="11" t="n">
        <x:f>SUMIFS('Спорт'!$D$5:$D$307,'Спорт'!$C$5:$C$307,A41)</x:f>
        <x:v>50</x:v>
      </x:c>
      <x:c r="F41" s="11" t="str">
        <x:f>IF(G41=0,"",SUMIFS('Спорт'!$H$5:$H$307,'Спорт'!$C$5:$C$307,A41))</x:f>
      </x:c>
      <x:c r="G41" s="9" t="n">
        <x:f>COUNTIFS('Спорт'!$C$5:$C$307,A41,'Спорт'!$H$5:$H$307,"&lt;&gt;")</x:f>
        <x:v>0</x:v>
      </x:c>
      <x:c r="H41" s="9" t="n">
        <x:f>COUNTIFS('Red Team'!$C$5:$C$307,A41,'Red Team'!$D$5:$D$307,"&lt;&gt;пауза")</x:f>
        <x:v>7</x:v>
      </x:c>
      <x:c r="I41" s="9" t="n">
        <x:f>COUNTIFS('Red Team'!$C$5:$C$307,A41,'Red Team'!$M$5:$M$307,"выполнено",'Red Team'!$N$5:$N$307,"&lt;&gt;",'Red Team'!$D$5:$D$307,"&lt;&gt;пауза")</x:f>
        <x:v>0</x:v>
      </x:c>
      <x:c r="J41" s="9" t="n">
        <x:f>COUNTIFS('Спорт'!$C$5:$C$307,A41,'Спорт'!$F$5:$F$307,"&lt;&gt;")</x:f>
        <x:v>2</x:v>
      </x:c>
      <x:c r="K41" s="9" t="n">
        <x:f>COUNTIFS('Спорт'!$C$5:$C$307,A41,'Спорт'!$P$5:$P$307,"выполнено",'Спорт'!$F$5:$F$307,"&lt;&gt;")</x:f>
        <x:v>0</x:v>
      </x:c>
      <x:c r="L41" s="9" t="str">
        <x:v>R165 повтор результата и handoff перед спортивным пиком</x:v>
      </x:c>
    </x:row>
    <x:row r="42" ht="15" hidden="0" customHeight="1">
      <x:c r="A42" s="9" t="n">
        <x:v>43</x:v>
      </x:c>
      <x:c r="B42" s="10" t="d">
        <x:v>2027-06-21T00:00:00.000Z</x:v>
      </x:c>
      <x:c r="C42" s="10" t="d">
        <x:v>2027-06-27T00:00:00.000Z</x:v>
      </x:c>
      <x:c r="D42" s="9" t="str">
        <x:v>Главный спортивный пик Только ретроспектива; нет новой теории и практики</x:v>
      </x:c>
      <x:c r="E42" s="11" t="n">
        <x:f>SUMIFS('Спорт'!$D$5:$D$307,'Спорт'!$C$5:$C$307,A42)</x:f>
        <x:v>94</x:v>
      </x:c>
      <x:c r="F42" s="11" t="str">
        <x:f>IF(G42=0,"",SUMIFS('Спорт'!$H$5:$H$307,'Спорт'!$C$5:$C$307,A42))</x:f>
      </x:c>
      <x:c r="G42" s="9" t="n">
        <x:f>COUNTIFS('Спорт'!$C$5:$C$307,A42,'Спорт'!$H$5:$H$307,"&lt;&gt;")</x:f>
        <x:v>0</x:v>
      </x:c>
      <x:c r="H42" s="9" t="n">
        <x:f>COUNTIFS('Red Team'!$C$5:$C$307,A42,'Red Team'!$D$5:$D$307,"&lt;&gt;пауза")</x:f>
        <x:v>5</x:v>
      </x:c>
      <x:c r="I42" s="9" t="n">
        <x:f>COUNTIFS('Red Team'!$C$5:$C$307,A42,'Red Team'!$M$5:$M$307,"выполнено",'Red Team'!$N$5:$N$307,"&lt;&gt;",'Red Team'!$D$5:$D$307,"&lt;&gt;пауза")</x:f>
        <x:v>0</x:v>
      </x:c>
      <x:c r="J42" s="9" t="n">
        <x:f>COUNTIFS('Спорт'!$C$5:$C$307,A42,'Спорт'!$F$5:$F$307,"&lt;&gt;")</x:f>
        <x:v>0</x:v>
      </x:c>
      <x:c r="K42" s="9" t="n">
        <x:f>COUNTIFS('Спорт'!$C$5:$C$307,A42,'Спорт'!$P$5:$P$307,"выполнено",'Спорт'!$F$5:$F$307,"&lt;&gt;")</x:f>
        <x:v>0</x:v>
      </x:c>
      <x:c r="L42" s="9" t="str">
        <x:v>review без долга</x:v>
      </x:c>
    </x:row>
    <x:row r="43" ht="15" hidden="0" customHeight="1">
      <x:c r="A43" s="9" t="n">
        <x:v>44</x:v>
      </x:c>
      <x:c r="B43" s="10" t="d">
        <x:v>2027-06-28T00:00:00.000Z</x:v>
      </x:c>
      <x:c r="C43" s="10" t="d">
        <x:v>2027-07-04T00:00:00.000Z</x:v>
      </x:c>
      <x:c r="D43" s="9" t="str">
        <x:v>Reverse/Pwn/Exploit Binary exploitation capstone II</x:v>
      </x:c>
      <x:c r="E43" s="11" t="n">
        <x:f>SUMIFS('Спорт'!$D$5:$D$307,'Спорт'!$C$5:$C$307,A43)</x:f>
        <x:v>28</x:v>
      </x:c>
      <x:c r="F43" s="11" t="str">
        <x:f>IF(G43=0,"",SUMIFS('Спорт'!$H$5:$H$307,'Спорт'!$C$5:$C$307,A43))</x:f>
      </x:c>
      <x:c r="G43" s="9" t="n">
        <x:f>COUNTIFS('Спорт'!$C$5:$C$307,A43,'Спорт'!$H$5:$H$307,"&lt;&gt;")</x:f>
        <x:v>0</x:v>
      </x:c>
      <x:c r="H43" s="9" t="n">
        <x:f>COUNTIFS('Red Team'!$C$5:$C$307,A43,'Red Team'!$D$5:$D$307,"&lt;&gt;пауза")</x:f>
        <x:v>5</x:v>
      </x:c>
      <x:c r="I43" s="9" t="n">
        <x:f>COUNTIFS('Red Team'!$C$5:$C$307,A43,'Red Team'!$M$5:$M$307,"выполнено",'Red Team'!$N$5:$N$307,"&lt;&gt;",'Red Team'!$D$5:$D$307,"&lt;&gt;пауза")</x:f>
        <x:v>0</x:v>
      </x:c>
      <x:c r="J43" s="9" t="n">
        <x:f>COUNTIFS('Спорт'!$C$5:$C$307,A43,'Спорт'!$F$5:$F$307,"&lt;&gt;")</x:f>
        <x:v>2</x:v>
      </x:c>
      <x:c r="K43" s="9" t="n">
        <x:f>COUNTIFS('Спорт'!$C$5:$C$307,A43,'Спорт'!$P$5:$P$307,"выполнено",'Спорт'!$F$5:$F$307,"&lt;&gt;")</x:f>
        <x:v>0</x:v>
      </x:c>
      <x:c r="L43" s="9" t="str">
        <x:v>capstone II при восстановлении</x:v>
      </x:c>
    </x:row>
    <x:row r="44" ht="15" hidden="0" customHeight="1">
      <x:c r="A44" s="9" t="n">
        <x:v>45</x:v>
      </x:c>
      <x:c r="B44" s="10" t="d">
        <x:v>2027-07-05T00:00:00.000Z</x:v>
      </x:c>
      <x:c r="C44" s="10" t="d">
        <x:v>2027-07-11T00:00:00.000Z</x:v>
      </x:c>
      <x:c r="D44" s="9" t="str">
        <x:v>TwoMillion: API, host-путь и итоговый отчёт</x:v>
      </x:c>
      <x:c r="E44" s="11" t="n">
        <x:f>SUMIFS('Спорт'!$D$5:$D$307,'Спорт'!$C$5:$C$307,A44)</x:f>
        <x:v>50</x:v>
      </x:c>
      <x:c r="F44" s="11" t="str">
        <x:f>IF(G44=0,"",SUMIFS('Спорт'!$H$5:$H$307,'Спорт'!$C$5:$C$307,A44))</x:f>
      </x:c>
      <x:c r="G44" s="9" t="n">
        <x:f>COUNTIFS('Спорт'!$C$5:$C$307,A44,'Спорт'!$H$5:$H$307,"&lt;&gt;")</x:f>
        <x:v>0</x:v>
      </x:c>
      <x:c r="H44" s="9" t="n">
        <x:f>COUNTIFS('Red Team'!$C$5:$C$307,A44,'Red Team'!$D$5:$D$307,"&lt;&gt;пауза")</x:f>
        <x:v>7</x:v>
      </x:c>
      <x:c r="I44" s="9" t="n">
        <x:f>COUNTIFS('Red Team'!$C$5:$C$307,A44,'Red Team'!$M$5:$M$307,"выполнено",'Red Team'!$N$5:$N$307,"&lt;&gt;",'Red Team'!$D$5:$D$307,"&lt;&gt;пауза")</x:f>
        <x:v>0</x:v>
      </x:c>
      <x:c r="J44" s="9" t="n">
        <x:f>COUNTIFS('Спорт'!$C$5:$C$307,A44,'Спорт'!$F$5:$F$307,"&lt;&gt;")</x:f>
        <x:v>2</x:v>
      </x:c>
      <x:c r="K44" s="9" t="n">
        <x:f>COUNTIFS('Спорт'!$C$5:$C$307,A44,'Спорт'!$P$5:$P$307,"выполнено",'Спорт'!$F$5:$F$307,"&lt;&gt;")</x:f>
        <x:v>0</x:v>
      </x:c>
      <x:c r="L44" s="9" t="str">
        <x:v>Матрица API и один воспроизводимый разрешённый путь</x:v>
      </x:c>
    </x:row>
    <x:row r="45" ht="15" hidden="0" customHeight="1">
      <x:c r="A45" s="9" t="n">
        <x:v>46</x:v>
      </x:c>
      <x:c r="B45" s="10" t="d">
        <x:v>2027-07-12T00:00:00.000Z</x:v>
      </x:c>
      <x:c r="C45" s="10" t="d">
        <x:v>2027-07-18T00:00:00.000Z</x:v>
      </x:c>
      <x:c r="D45" s="9" t="str">
        <x:v>CTF Crack Me 1 от triage до write up</x:v>
      </x:c>
      <x:c r="E45" s="11" t="n">
        <x:f>SUMIFS('Спорт'!$D$5:$D$307,'Спорт'!$C$5:$C$307,A45)</x:f>
        <x:v>46</x:v>
      </x:c>
      <x:c r="F45" s="11" t="str">
        <x:f>IF(G45=0,"",SUMIFS('Спорт'!$H$5:$H$307,'Спорт'!$C$5:$C$307,A45))</x:f>
      </x:c>
      <x:c r="G45" s="9" t="n">
        <x:f>COUNTIFS('Спорт'!$C$5:$C$307,A45,'Спорт'!$H$5:$H$307,"&lt;&gt;")</x:f>
        <x:v>0</x:v>
      </x:c>
      <x:c r="H45" s="9" t="n">
        <x:f>COUNTIFS('Red Team'!$C$5:$C$307,A45,'Red Team'!$D$5:$D$307,"&lt;&gt;пауза")</x:f>
        <x:v>7</x:v>
      </x:c>
      <x:c r="I45" s="9" t="n">
        <x:f>COUNTIFS('Red Team'!$C$5:$C$307,A45,'Red Team'!$M$5:$M$307,"выполнено",'Red Team'!$N$5:$N$307,"&lt;&gt;",'Red Team'!$D$5:$D$307,"&lt;&gt;пауза")</x:f>
        <x:v>0</x:v>
      </x:c>
      <x:c r="J45" s="9" t="n">
        <x:f>COUNTIFS('Спорт'!$C$5:$C$307,A45,'Спорт'!$F$5:$F$307,"&lt;&gt;")</x:f>
        <x:v>2</x:v>
      </x:c>
      <x:c r="K45" s="9" t="n">
        <x:f>COUNTIFS('Спорт'!$C$5:$C$307,A45,'Спорт'!$P$5:$P$307,"выполнено",'Спорт'!$F$5:$F$307,"&lt;&gt;")</x:f>
        <x:v>0</x:v>
      </x:c>
      <x:c r="L45" s="9" t="str">
        <x:v>R09 самостоятельное объяснение и воспроизведение</x:v>
      </x:c>
    </x:row>
    <x:row r="46" ht="15" hidden="0" customHeight="1">
      <x:c r="A46" s="9" t="n">
        <x:v>47</x:v>
      </x:c>
      <x:c r="B46" s="10" t="d">
        <x:v>2027-07-19T00:00:00.000Z</x:v>
      </x:c>
      <x:c r="C46" s="10" t="d">
        <x:v>2027-07-25T00:00:00.000Z</x:v>
      </x:c>
      <x:c r="D46" s="9" t="str">
        <x:v>Телеметрия проверка защиты и обнаружение</x:v>
      </x:c>
      <x:c r="E46" s="11" t="n">
        <x:f>SUMIFS('Спорт'!$D$5:$D$307,'Спорт'!$C$5:$C$307,A46)</x:f>
        <x:v>32</x:v>
      </x:c>
      <x:c r="F46" s="11" t="str">
        <x:f>IF(G46=0,"",SUMIFS('Спорт'!$H$5:$H$307,'Спорт'!$C$5:$C$307,A46))</x:f>
      </x:c>
      <x:c r="G46" s="9" t="n">
        <x:f>COUNTIFS('Спорт'!$C$5:$C$307,A46,'Спорт'!$H$5:$H$307,"&lt;&gt;")</x:f>
        <x:v>0</x:v>
      </x:c>
      <x:c r="H46" s="9" t="n">
        <x:f>COUNTIFS('Red Team'!$C$5:$C$307,A46,'Red Team'!$D$5:$D$307,"&lt;&gt;пауза")</x:f>
        <x:v>7</x:v>
      </x:c>
      <x:c r="I46" s="9" t="n">
        <x:f>COUNTIFS('Red Team'!$C$5:$C$307,A46,'Red Team'!$M$5:$M$307,"выполнено",'Red Team'!$N$5:$N$307,"&lt;&gt;",'Red Team'!$D$5:$D$307,"&lt;&gt;пауза")</x:f>
        <x:v>0</x:v>
      </x:c>
      <x:c r="J46" s="9" t="n">
        <x:f>COUNTIFS('Спорт'!$C$5:$C$307,A46,'Спорт'!$F$5:$F$307,"&lt;&gt;")</x:f>
        <x:v>2</x:v>
      </x:c>
      <x:c r="K46" s="9" t="n">
        <x:f>COUNTIFS('Спорт'!$C$5:$C$307,A46,'Спорт'!$P$5:$P$307,"выполнено",'Спорт'!$F$5:$F$307,"&lt;&gt;")</x:f>
        <x:v>0</x:v>
      </x:c>
      <x:c r="L46" s="9" t="str">
        <x:v>Матрица положительных и отрицательных событий</x:v>
      </x:c>
    </x:row>
    <x:row r="47" ht="15" hidden="0" customHeight="1">
      <x:c r="A47" s="9" t="n">
        <x:v>48</x:v>
      </x:c>
      <x:c r="B47" s="10" t="d">
        <x:v>2027-07-26T00:00:00.000Z</x:v>
      </x:c>
      <x:c r="C47" s="10" t="d">
        <x:v>2027-08-01T00:00:00.000Z</x:v>
      </x:c>
      <x:c r="D47" s="9" t="str">
        <x:v>Портфолио Воспроизводимость, отчёты и карта компетенций</x:v>
      </x:c>
      <x:c r="E47" s="11" t="n">
        <x:f>SUMIFS('Спорт'!$D$5:$D$307,'Спорт'!$C$5:$C$307,A47)</x:f>
        <x:v>18</x:v>
      </x:c>
      <x:c r="F47" s="11" t="str">
        <x:f>IF(G47=0,"",SUMIFS('Спорт'!$H$5:$H$307,'Спорт'!$C$5:$C$307,A47))</x:f>
      </x:c>
      <x:c r="G47" s="9" t="n">
        <x:f>COUNTIFS('Спорт'!$C$5:$C$307,A47,'Спорт'!$H$5:$H$307,"&lt;&gt;")</x:f>
        <x:v>0</x:v>
      </x:c>
      <x:c r="H47" s="9" t="n">
        <x:f>COUNTIFS('Red Team'!$C$5:$C$307,A47,'Red Team'!$D$5:$D$307,"&lt;&gt;пауза")</x:f>
        <x:v>5</x:v>
      </x:c>
      <x:c r="I47" s="9" t="n">
        <x:f>COUNTIFS('Red Team'!$C$5:$C$307,A47,'Red Team'!$M$5:$M$307,"выполнено",'Red Team'!$N$5:$N$307,"&lt;&gt;",'Red Team'!$D$5:$D$307,"&lt;&gt;пауза")</x:f>
        <x:v>0</x:v>
      </x:c>
      <x:c r="J47" s="9" t="n">
        <x:f>COUNTIFS('Спорт'!$C$5:$C$307,A47,'Спорт'!$F$5:$F$307,"&lt;&gt;")</x:f>
        <x:v>2</x:v>
      </x:c>
      <x:c r="K47" s="9" t="n">
        <x:f>COUNTIFS('Спорт'!$C$5:$C$307,A47,'Спорт'!$P$5:$P$307,"выполнено",'Спорт'!$F$5:$F$307,"&lt;&gt;")</x:f>
        <x:v>0</x:v>
      </x:c>
      <x:c r="L47" s="9" t="str">
        <x:v>portfolio map</x:v>
      </x:c>
    </x:row>
    <x:row r="48" ht="15" hidden="0" customHeight="1">
      <x:c r="A48" s="9" t="n">
        <x:v>49</x:v>
      </x:c>
      <x:c r="B48" s="10" t="d">
        <x:v>2027-08-02T00:00:00.000Z</x:v>
      </x:c>
      <x:c r="C48" s="10" t="d">
        <x:v>2027-08-03T00:00:00.000Z</x:v>
      </x:c>
      <x:c r="D48" s="9" t="str">
        <x:v>Финал года Ревизия без новой крупной темы</x:v>
      </x:c>
      <x:c r="E48" s="11" t="n">
        <x:f>SUMIFS('Спорт'!$D$5:$D$307,'Спорт'!$C$5:$C$307,A48)</x:f>
        <x:v>100</x:v>
      </x:c>
      <x:c r="F48" s="11" t="str">
        <x:f>IF(G48=0,"",SUMIFS('Спорт'!$H$5:$H$307,'Спорт'!$C$5:$C$307,A48))</x:f>
      </x:c>
      <x:c r="G48" s="9" t="n">
        <x:f>COUNTIFS('Спорт'!$C$5:$C$307,A48,'Спорт'!$H$5:$H$307,"&lt;&gt;")</x:f>
        <x:v>0</x:v>
      </x:c>
      <x:c r="H48" s="9" t="n">
        <x:f>COUNTIFS('Red Team'!$C$5:$C$307,A48,'Red Team'!$D$5:$D$307,"&lt;&gt;пауза")</x:f>
        <x:v>0</x:v>
      </x:c>
      <x:c r="I48" s="9" t="n">
        <x:f>COUNTIFS('Red Team'!$C$5:$C$307,A48,'Red Team'!$M$5:$M$307,"выполнено",'Red Team'!$N$5:$N$307,"&lt;&gt;",'Red Team'!$D$5:$D$307,"&lt;&gt;пауза")</x:f>
        <x:v>0</x:v>
      </x:c>
      <x:c r="J48" s="9" t="n">
        <x:f>COUNTIFS('Спорт'!$C$5:$C$307,A48,'Спорт'!$F$5:$F$307,"&lt;&gt;")</x:f>
        <x:v>0</x:v>
      </x:c>
      <x:c r="K48" s="9" t="n">
        <x:f>COUNTIFS('Спорт'!$C$5:$C$307,A48,'Спорт'!$P$5:$P$307,"выполнено",'Спорт'!$F$5:$F$307,"&lt;&gt;")</x:f>
        <x:v>0</x:v>
      </x:c>
      <x:c r="L48" s="9" t="str">
        <x:v>практики нет</x:v>
      </x:c>
    </x:row>
  </x:sheetData>
  <x:pageMargins left="0.7" right="0.7" top="0.75" bottom="0.75" header="0.3" footer="0.3"/>
  <x:tableParts count="1">
    <x:tablePart xmlns:r="http://schemas.openxmlformats.org/officeDocument/2006/relationships" r:id="R084b559928414775"/>
  </x:tableParts>
</x:worksheet>
</file>

<file path=xl/worksheets/sheet2.xml><?xml version="1.0" encoding="utf-8"?>
<x:worksheet xmlns:x="http://schemas.openxmlformats.org/spreadsheetml/2006/main">
  <x:sheetViews>
    <x:sheetView showGridLines="0" workbookViewId="0">
      <x:pane xSplit="3" ySplit="4" topLeftCell="D5" activePane="bottomRight" state="frozen"/>
    </x:sheetView>
  </x:sheetViews>
  <x:sheetFormatPr defaultRowHeight="15"/>
  <x:cols>
    <x:col min="1" max="1" width="13" hidden="0" customWidth="1"/>
    <x:col min="2" max="2" width="7" hidden="0" customWidth="1"/>
    <x:col min="3" max="3" width="9" hidden="0" customWidth="1"/>
    <x:col min="4" max="4" width="11" hidden="0" customWidth="1"/>
    <x:col min="5" max="5" width="65" hidden="0" customWidth="1"/>
    <x:col min="6" max="6" width="58" hidden="0" customWidth="1"/>
    <x:col min="7" max="7" width="16" hidden="0" customWidth="1"/>
    <x:col min="8" max="8" width="12" hidden="0" customWidth="1"/>
    <x:col min="9" max="9" width="8" hidden="0" customWidth="1"/>
    <x:col min="10" max="10" width="10" hidden="0" customWidth="1"/>
    <x:col min="11" max="11" width="12" hidden="0" customWidth="1"/>
    <x:col min="12" max="12" width="12" hidden="0" customWidth="1"/>
    <x:col min="13" max="13" width="11" hidden="0" customWidth="1"/>
    <x:col min="14" max="14" width="28" hidden="0" customWidth="1"/>
    <x:col min="15" max="15" width="48" hidden="0" customWidth="1"/>
    <x:col min="16" max="16" width="17" hidden="0" customWidth="1"/>
  </x:cols>
  <x:sheetData>
    <x:row r="1">
      <x:c r="A1" s="1"/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  <x:c r="M1" s="1"/>
      <x:c r="N1" s="1"/>
      <x:c r="O1" s="1"/>
      <x:c r="P1" s="1"/>
    </x:row>
    <x:row r="2">
      <x:c r="A2" s="2" t="str">
        <x:v>Спортивные задачи по дням</x:v>
      </x:c>
      <x:c r="B2" s="1"/>
      <x:c r="C2" s="1"/>
      <x:c r="D2" s="1"/>
      <x:c r="E2" s="1"/>
      <x:c r="F2" s="1"/>
      <x:c r="G2" s="1"/>
      <x:c r="H2" s="1"/>
      <x:c r="I2" s="1"/>
      <x:c r="J2" s="1"/>
      <x:c r="K2" s="1"/>
      <x:c r="L2" s="1"/>
      <x:c r="M2" s="1"/>
      <x:c r="N2" s="1"/>
      <x:c r="O2" s="1"/>
      <x:c r="P2" s="1"/>
    </x:row>
    <x:row r="3">
      <x:c r="A3" s="1"/>
      <x:c r="B3" s="1"/>
      <x:c r="C3" s="1"/>
      <x:c r="D3" s="1"/>
      <x:c r="E3" s="1"/>
      <x:c r="F3" s="1"/>
      <x:c r="G3" s="1"/>
      <x:c r="H3" s="1"/>
      <x:c r="I3" s="1"/>
      <x:c r="J3" s="1"/>
      <x:c r="K3" s="1"/>
      <x:c r="L3" s="1"/>
      <x:c r="M3" s="1"/>
      <x:c r="N3" s="1"/>
      <x:c r="O3" s="1"/>
      <x:c r="P3" s="1"/>
    </x:row>
    <x:row r="4" ht="42" customHeight="1">
      <x:c r="A4" s="7" t="str">
        <x:v>Дата</x:v>
      </x:c>
      <x:c r="B4" s="7" t="str">
        <x:v>День</x:v>
      </x:c>
      <x:c r="C4" s="7" t="str">
        <x:v>Неделя</x:v>
      </x:c>
      <x:c r="D4" s="7" t="str">
        <x:v>План км</x:v>
      </x:c>
      <x:c r="E4" s="7" t="str">
        <x:v>Бег и восстановление</x:v>
      </x:c>
      <x:c r="F4" s="7" t="str">
        <x:v>Силовая задача</x:v>
      </x:c>
      <x:c r="G4" s="7" t="str">
        <x:v>Статус бега</x:v>
      </x:c>
      <x:c r="H4" s="7" t="str">
        <x:v>Факт км</x:v>
      </x:c>
      <x:c r="I4" s="7" t="str">
        <x:v>RPE</x:v>
      </x:c>
      <x:c r="J4" s="7" t="str">
        <x:v>Боль до</x:v>
      </x:c>
      <x:c r="K4" s="7" t="str">
        <x:v>Боль после</x:v>
      </x:c>
      <x:c r="L4" s="7" t="str">
        <x:v>Боль утром</x:v>
      </x:c>
      <x:c r="M4" s="7" t="str">
        <x:v>Отёк</x:v>
      </x:c>
      <x:c r="N4" s="7" t="str">
        <x:v>Восстановление</x:v>
      </x:c>
      <x:c r="O4" s="7" t="str">
        <x:v>Факт или ссылка</x:v>
      </x:c>
      <x:c r="P4" s="7" t="str">
        <x:v>Силовая факт</x:v>
      </x:c>
    </x:row>
    <x:row r="5" ht="44" customHeight="1">
      <x:c r="A5" s="10" t="d">
        <x:v>2026-10-05T00:00:00.000Z</x:v>
      </x:c>
      <x:c r="B5" s="9" t="str">
        <x:v>пн</x:v>
      </x:c>
      <x:c r="C5" s="9" t="n">
        <x:v>6</x:v>
      </x:c>
      <x:c r="D5" s="11" t="n">
        <x:v>0</x:v>
      </x:c>
      <x:c r="E5" s="9" t="str">
        <x:v>Отдых от бега. Оценить восстановление и реакцию колена; пропущенные километры не догонять.</x:v>
      </x:c>
      <x:c r="F5" s="9"/>
      <x:c r="G5" s="12"/>
      <x:c r="H5" s="13"/>
      <x:c r="I5" s="12"/>
      <x:c r="J5" s="12"/>
      <x:c r="K5" s="12"/>
      <x:c r="L5" s="12"/>
      <x:c r="M5" s="12"/>
      <x:c r="N5" s="12"/>
      <x:c r="O5" s="12"/>
      <x:c r="P5" s="12"/>
    </x:row>
    <x:row r="6" ht="44" customHeight="1">
      <x:c r="A6" s="10" t="d">
        <x:v>2026-10-06T00:00:00.000Z</x:v>
      </x:c>
      <x:c r="B6" s="9" t="str">
        <x:v>вт</x:v>
      </x:c>
      <x:c r="C6" s="9" t="n">
        <x:v>6</x:v>
      </x:c>
      <x:c r="D6" s="11" t="n">
        <x:v>5</x:v>
      </x:c>
      <x:c r="E6" s="9" t="str">
        <x:v>Лёгкий бег до 5 км на RPE 2–3. Сократить дистанцию при ограничениях дня или ухудшении состояния.</x:v>
      </x:c>
      <x:c r="F6" s="9"/>
      <x:c r="G6" s="12"/>
      <x:c r="H6" s="13"/>
      <x:c r="I6" s="12"/>
      <x:c r="J6" s="12"/>
      <x:c r="K6" s="12"/>
      <x:c r="L6" s="12"/>
      <x:c r="M6" s="12"/>
      <x:c r="N6" s="12"/>
      <x:c r="O6" s="12"/>
      <x:c r="P6" s="12"/>
    </x:row>
    <x:row r="7" ht="44" customHeight="1">
      <x:c r="A7" s="10" t="d">
        <x:v>2026-10-07T00:00:00.000Z</x:v>
      </x:c>
      <x:c r="B7" s="9" t="str">
        <x:v>ср</x:v>
      </x:c>
      <x:c r="C7" s="9" t="n">
        <x:v>6</x:v>
      </x:c>
      <x:c r="D7" s="11" t="n">
        <x:v>5</x:v>
      </x:c>
      <x:c r="E7" s="9" t="str">
        <x:v>Лёгкий бег до 5 км на RPE 2–3. Сократить дистанцию при ограничениях дня или ухудшении состояния.</x:v>
      </x:c>
      <x:c r="F7" s="9" t="str">
        <x:v>S2: бэнд 2×10, короткая стопа 2×5×5с, баланс 2×30с, dead bug 2×8</x:v>
      </x:c>
      <x:c r="G7" s="12"/>
      <x:c r="H7" s="13"/>
      <x:c r="I7" s="12"/>
      <x:c r="J7" s="12"/>
      <x:c r="K7" s="12"/>
      <x:c r="L7" s="12"/>
      <x:c r="M7" s="12"/>
      <x:c r="N7" s="12"/>
      <x:c r="O7" s="12"/>
      <x:c r="P7" s="12"/>
    </x:row>
    <x:row r="8" ht="44" customHeight="1">
      <x:c r="A8" s="10" t="d">
        <x:v>2026-10-08T00:00:00.000Z</x:v>
      </x:c>
      <x:c r="B8" s="9" t="str">
        <x:v>чт</x:v>
      </x:c>
      <x:c r="C8" s="9" t="n">
        <x:v>6</x:v>
      </x:c>
      <x:c r="D8" s="11" t="n">
        <x:v>0</x:v>
      </x:c>
      <x:c r="E8" s="9" t="str">
        <x:v>Отдых от бега. Оценить восстановление и реакцию колена; пропущенные километры не догонять.</x:v>
      </x:c>
      <x:c r="F8" s="9" t="str">
        <x:v>S1: присед 2×8–12, мост 2×12–15, икры 2×12–15, тяга 2×10–15, боковая планка 2×20–30с</x:v>
      </x:c>
      <x:c r="G8" s="12"/>
      <x:c r="H8" s="13"/>
      <x:c r="I8" s="12"/>
      <x:c r="J8" s="12"/>
      <x:c r="K8" s="12"/>
      <x:c r="L8" s="12"/>
      <x:c r="M8" s="12"/>
      <x:c r="N8" s="12"/>
      <x:c r="O8" s="12"/>
      <x:c r="P8" s="12"/>
    </x:row>
    <x:row r="9" ht="44" customHeight="1">
      <x:c r="A9" s="10" t="d">
        <x:v>2026-10-09T00:00:00.000Z</x:v>
      </x:c>
      <x:c r="B9" s="9" t="str">
        <x:v>пт</x:v>
      </x:c>
      <x:c r="C9" s="9" t="n">
        <x:v>6</x:v>
      </x:c>
      <x:c r="D9" s="11" t="n">
        <x:v>6</x:v>
      </x:c>
      <x:c r="E9" s="9" t="str">
        <x:v>Лёгкий бег до 6 км на RPE 2–3. Сократить дистанцию при ограничениях дня или ухудшении состояния.</x:v>
      </x:c>
      <x:c r="F9" s="9"/>
      <x:c r="G9" s="12"/>
      <x:c r="H9" s="13"/>
      <x:c r="I9" s="12"/>
      <x:c r="J9" s="12"/>
      <x:c r="K9" s="12"/>
      <x:c r="L9" s="12"/>
      <x:c r="M9" s="12"/>
      <x:c r="N9" s="12"/>
      <x:c r="O9" s="12"/>
      <x:c r="P9" s="12"/>
    </x:row>
    <x:row r="10" ht="44" customHeight="1">
      <x:c r="A10" s="10" t="d">
        <x:v>2026-10-10T00:00:00.000Z</x:v>
      </x:c>
      <x:c r="B10" s="9" t="str">
        <x:v>сб</x:v>
      </x:c>
      <x:c r="C10" s="9" t="n">
        <x:v>6</x:v>
      </x:c>
      <x:c r="D10" s="11" t="n">
        <x:v>0</x:v>
      </x:c>
      <x:c r="E10" s="9" t="str">
        <x:v>Отдых от бега. Оценить восстановление и реакцию колена; пропущенные километры не догонять.</x:v>
      </x:c>
      <x:c r="F10" s="9"/>
      <x:c r="G10" s="12"/>
      <x:c r="H10" s="13"/>
      <x:c r="I10" s="12"/>
      <x:c r="J10" s="12"/>
      <x:c r="K10" s="12"/>
      <x:c r="L10" s="12"/>
      <x:c r="M10" s="12"/>
      <x:c r="N10" s="12"/>
      <x:c r="O10" s="12"/>
      <x:c r="P10" s="12"/>
    </x:row>
    <x:row r="11" ht="44" customHeight="1">
      <x:c r="A11" s="10" t="d">
        <x:v>2026-10-11T00:00:00.000Z</x:v>
      </x:c>
      <x:c r="B11" s="9" t="str">
        <x:v>вс</x:v>
      </x:c>
      <x:c r="C11" s="9" t="n">
        <x:v>6</x:v>
      </x:c>
      <x:c r="D11" s="11" t="n">
        <x:v>16</x:v>
      </x:c>
      <x:c r="E11" s="9" t="str">
        <x:v>Длительная до 16 км на RPE 2–3. Использовать проверенное чередование бега и ходьбы; заранее подготовить воду питание и выход с маршрута.</x:v>
      </x:c>
      <x:c r="F11" s="9"/>
      <x:c r="G11" s="12"/>
      <x:c r="H11" s="13"/>
      <x:c r="I11" s="12"/>
      <x:c r="J11" s="12"/>
      <x:c r="K11" s="12"/>
      <x:c r="L11" s="12"/>
      <x:c r="M11" s="12"/>
      <x:c r="N11" s="12"/>
      <x:c r="O11" s="12"/>
      <x:c r="P11" s="12"/>
    </x:row>
    <x:row r="12" ht="44" customHeight="1">
      <x:c r="A12" s="10" t="d">
        <x:v>2026-10-12T00:00:00.000Z</x:v>
      </x:c>
      <x:c r="B12" s="9" t="str">
        <x:v>пн</x:v>
      </x:c>
      <x:c r="C12" s="9" t="n">
        <x:v>7</x:v>
      </x:c>
      <x:c r="D12" s="11" t="n">
        <x:v>4</x:v>
      </x:c>
      <x:c r="E12" s="9" t="str">
        <x:v>Лёгкий бег до 4 км на RPE 2–3. Сократить дистанцию при ограничениях дня или ухудшении состояния.</x:v>
      </x:c>
      <x:c r="F12" s="9"/>
      <x:c r="G12" s="12"/>
      <x:c r="H12" s="13"/>
      <x:c r="I12" s="12"/>
      <x:c r="J12" s="12"/>
      <x:c r="K12" s="12"/>
      <x:c r="L12" s="12"/>
      <x:c r="M12" s="12"/>
      <x:c r="N12" s="12"/>
      <x:c r="O12" s="12"/>
      <x:c r="P12" s="12"/>
    </x:row>
    <x:row r="13" ht="44" customHeight="1">
      <x:c r="A13" s="10" t="d">
        <x:v>2026-10-13T00:00:00.000Z</x:v>
      </x:c>
      <x:c r="B13" s="9" t="str">
        <x:v>вт</x:v>
      </x:c>
      <x:c r="C13" s="9" t="n">
        <x:v>7</x:v>
      </x:c>
      <x:c r="D13" s="11" t="n">
        <x:v>6</x:v>
      </x:c>
      <x:c r="E13" s="9" t="str">
        <x:v>Лёгкий бег до 6 км на RPE 2–3. Сократить дистанцию при ограничениях дня или ухудшении состояния.</x:v>
      </x:c>
      <x:c r="F13" s="9"/>
      <x:c r="G13" s="12"/>
      <x:c r="H13" s="13"/>
      <x:c r="I13" s="12"/>
      <x:c r="J13" s="12"/>
      <x:c r="K13" s="12"/>
      <x:c r="L13" s="12"/>
      <x:c r="M13" s="12"/>
      <x:c r="N13" s="12"/>
      <x:c r="O13" s="12"/>
      <x:c r="P13" s="12"/>
    </x:row>
    <x:row r="14" ht="44" customHeight="1">
      <x:c r="A14" s="10" t="d">
        <x:v>2026-10-14T00:00:00.000Z</x:v>
      </x:c>
      <x:c r="B14" s="9" t="str">
        <x:v>ср</x:v>
      </x:c>
      <x:c r="C14" s="9" t="n">
        <x:v>7</x:v>
      </x:c>
      <x:c r="D14" s="11" t="n">
        <x:v>4</x:v>
      </x:c>
      <x:c r="E14" s="9" t="str">
        <x:v>Лёгкий бег до 4 км на RPE 2–3. Сократить дистанцию при ограничениях дня или ухудшении состояния.</x:v>
      </x:c>
      <x:c r="F14" s="9" t="str">
        <x:v>S2: бэнд 2×10, короткая стопа 2×5×5с, баланс 2×30с, dead bug 2×8</x:v>
      </x:c>
      <x:c r="G14" s="12"/>
      <x:c r="H14" s="13"/>
      <x:c r="I14" s="12"/>
      <x:c r="J14" s="12"/>
      <x:c r="K14" s="12"/>
      <x:c r="L14" s="12"/>
      <x:c r="M14" s="12"/>
      <x:c r="N14" s="12"/>
      <x:c r="O14" s="12"/>
      <x:c r="P14" s="12"/>
    </x:row>
    <x:row r="15" ht="44" customHeight="1">
      <x:c r="A15" s="10" t="d">
        <x:v>2026-10-15T00:00:00.000Z</x:v>
      </x:c>
      <x:c r="B15" s="9" t="str">
        <x:v>чт</x:v>
      </x:c>
      <x:c r="C15" s="9" t="n">
        <x:v>7</x:v>
      </x:c>
      <x:c r="D15" s="11" t="n">
        <x:v>0</x:v>
      </x:c>
      <x:c r="E15" s="9" t="str">
        <x:v>Отдых от бега. Оценить восстановление и реакцию колена; пропущенные километры не догонять.</x:v>
      </x:c>
      <x:c r="F15" s="9" t="str">
        <x:v>S1: присед 2×8–12, мост 2×12–15, икры 2×12–15, тяга 2×10–15, боковая планка 2×20–30с</x:v>
      </x:c>
      <x:c r="G15" s="12"/>
      <x:c r="H15" s="13"/>
      <x:c r="I15" s="12"/>
      <x:c r="J15" s="12"/>
      <x:c r="K15" s="12"/>
      <x:c r="L15" s="12"/>
      <x:c r="M15" s="12"/>
      <x:c r="N15" s="12"/>
      <x:c r="O15" s="12"/>
      <x:c r="P15" s="12"/>
    </x:row>
    <x:row r="16" ht="44" customHeight="1">
      <x:c r="A16" s="10" t="d">
        <x:v>2026-10-16T00:00:00.000Z</x:v>
      </x:c>
      <x:c r="B16" s="9" t="str">
        <x:v>пт</x:v>
      </x:c>
      <x:c r="C16" s="9" t="n">
        <x:v>7</x:v>
      </x:c>
      <x:c r="D16" s="11" t="n">
        <x:v>6</x:v>
      </x:c>
      <x:c r="E16" s="9" t="str">
        <x:v>Лёгкий бег до 6 км на RPE 2–3. Сократить дистанцию при ограничениях дня или ухудшении состояния.</x:v>
      </x:c>
      <x:c r="F16" s="9"/>
      <x:c r="G16" s="12"/>
      <x:c r="H16" s="13"/>
      <x:c r="I16" s="12"/>
      <x:c r="J16" s="12"/>
      <x:c r="K16" s="12"/>
      <x:c r="L16" s="12"/>
      <x:c r="M16" s="12"/>
      <x:c r="N16" s="12"/>
      <x:c r="O16" s="12"/>
      <x:c r="P16" s="12"/>
    </x:row>
    <x:row r="17" ht="44" customHeight="1">
      <x:c r="A17" s="10" t="d">
        <x:v>2026-10-17T00:00:00.000Z</x:v>
      </x:c>
      <x:c r="B17" s="9" t="str">
        <x:v>сб</x:v>
      </x:c>
      <x:c r="C17" s="9" t="n">
        <x:v>7</x:v>
      </x:c>
      <x:c r="D17" s="11" t="n">
        <x:v>0</x:v>
      </x:c>
      <x:c r="E17" s="9" t="str">
        <x:v>Отдых от бега. Оценить восстановление и реакцию колена; пропущенные километры не догонять.</x:v>
      </x:c>
      <x:c r="F17" s="9"/>
      <x:c r="G17" s="12"/>
      <x:c r="H17" s="13"/>
      <x:c r="I17" s="12"/>
      <x:c r="J17" s="12"/>
      <x:c r="K17" s="12"/>
      <x:c r="L17" s="12"/>
      <x:c r="M17" s="12"/>
      <x:c r="N17" s="12"/>
      <x:c r="O17" s="12"/>
      <x:c r="P17" s="12"/>
    </x:row>
    <x:row r="18" ht="44" customHeight="1">
      <x:c r="A18" s="10" t="d">
        <x:v>2026-10-18T00:00:00.000Z</x:v>
      </x:c>
      <x:c r="B18" s="9" t="str">
        <x:v>вс</x:v>
      </x:c>
      <x:c r="C18" s="9" t="n">
        <x:v>7</x:v>
      </x:c>
      <x:c r="D18" s="11" t="n">
        <x:v>18</x:v>
      </x:c>
      <x:c r="E18" s="9" t="str">
        <x:v>Длительная до 18 км на RPE 2–3. Использовать проверенное чередование бега и ходьбы; заранее подготовить воду питание и выход с маршрута.</x:v>
      </x:c>
      <x:c r="F18" s="9"/>
      <x:c r="G18" s="12"/>
      <x:c r="H18" s="13"/>
      <x:c r="I18" s="12"/>
      <x:c r="J18" s="12"/>
      <x:c r="K18" s="12"/>
      <x:c r="L18" s="12"/>
      <x:c r="M18" s="12"/>
      <x:c r="N18" s="12"/>
      <x:c r="O18" s="12"/>
      <x:c r="P18" s="12"/>
    </x:row>
    <x:row r="19" ht="44" customHeight="1">
      <x:c r="A19" s="10" t="d">
        <x:v>2026-10-19T00:00:00.000Z</x:v>
      </x:c>
      <x:c r="B19" s="9" t="str">
        <x:v>пн</x:v>
      </x:c>
      <x:c r="C19" s="9" t="n">
        <x:v>8</x:v>
      </x:c>
      <x:c r="D19" s="11" t="n">
        <x:v>4</x:v>
      </x:c>
      <x:c r="E19" s="9" t="str">
        <x:v>Лёгкий бег до 4 км на RPE 2–3. Сократить дистанцию при ограничениях дня или ухудшении состояния.</x:v>
      </x:c>
      <x:c r="F19" s="9"/>
      <x:c r="G19" s="12"/>
      <x:c r="H19" s="13"/>
      <x:c r="I19" s="12"/>
      <x:c r="J19" s="12"/>
      <x:c r="K19" s="12"/>
      <x:c r="L19" s="12"/>
      <x:c r="M19" s="12"/>
      <x:c r="N19" s="12"/>
      <x:c r="O19" s="12"/>
      <x:c r="P19" s="12"/>
    </x:row>
    <x:row r="20" ht="44" customHeight="1">
      <x:c r="A20" s="10" t="d">
        <x:v>2026-10-20T00:00:00.000Z</x:v>
      </x:c>
      <x:c r="B20" s="9" t="str">
        <x:v>вт</x:v>
      </x:c>
      <x:c r="C20" s="9" t="n">
        <x:v>8</x:v>
      </x:c>
      <x:c r="D20" s="11" t="n">
        <x:v>6</x:v>
      </x:c>
      <x:c r="E20" s="9" t="str">
        <x:v>Лёгкий бег до 6 км на RPE 2–3. Сократить дистанцию при ограничениях дня или ухудшении состояния.</x:v>
      </x:c>
      <x:c r="F20" s="9"/>
      <x:c r="G20" s="12"/>
      <x:c r="H20" s="13"/>
      <x:c r="I20" s="12"/>
      <x:c r="J20" s="12"/>
      <x:c r="K20" s="12"/>
      <x:c r="L20" s="12"/>
      <x:c r="M20" s="12"/>
      <x:c r="N20" s="12"/>
      <x:c r="O20" s="12"/>
      <x:c r="P20" s="12"/>
    </x:row>
    <x:row r="21" ht="44" customHeight="1">
      <x:c r="A21" s="10" t="d">
        <x:v>2026-10-21T00:00:00.000Z</x:v>
      </x:c>
      <x:c r="B21" s="9" t="str">
        <x:v>ср</x:v>
      </x:c>
      <x:c r="C21" s="9" t="n">
        <x:v>8</x:v>
      </x:c>
      <x:c r="D21" s="11" t="n">
        <x:v>4</x:v>
      </x:c>
      <x:c r="E21" s="9" t="str">
        <x:v>Лёгкий бег до 4 км на RPE 2–3. Сократить дистанцию при ограничениях дня или ухудшении состояния.</x:v>
      </x:c>
      <x:c r="F21" s="9" t="str">
        <x:v>S2: бэнд 2×10, короткая стопа 2×5×5с, баланс 2×30с, dead bug 2×8</x:v>
      </x:c>
      <x:c r="G21" s="12"/>
      <x:c r="H21" s="13"/>
      <x:c r="I21" s="12"/>
      <x:c r="J21" s="12"/>
      <x:c r="K21" s="12"/>
      <x:c r="L21" s="12"/>
      <x:c r="M21" s="12"/>
      <x:c r="N21" s="12"/>
      <x:c r="O21" s="12"/>
      <x:c r="P21" s="12"/>
    </x:row>
    <x:row r="22" ht="44" customHeight="1">
      <x:c r="A22" s="10" t="d">
        <x:v>2026-10-22T00:00:00.000Z</x:v>
      </x:c>
      <x:c r="B22" s="9" t="str">
        <x:v>чт</x:v>
      </x:c>
      <x:c r="C22" s="9" t="n">
        <x:v>8</x:v>
      </x:c>
      <x:c r="D22" s="11" t="n">
        <x:v>0</x:v>
      </x:c>
      <x:c r="E22" s="9" t="str">
        <x:v>Отдых от бега. Оценить восстановление и реакцию колена; пропущенные километры не догонять.</x:v>
      </x:c>
      <x:c r="F22" s="9" t="str">
        <x:v>S1: присед/сплит 2–3×8–12, мост 2–3×12–15, икры 2–3×12–20, тяга 2–3×10–15, боковая планка 2–3×20–40с</x:v>
      </x:c>
      <x:c r="G22" s="12"/>
      <x:c r="H22" s="13"/>
      <x:c r="I22" s="12"/>
      <x:c r="J22" s="12"/>
      <x:c r="K22" s="12"/>
      <x:c r="L22" s="12"/>
      <x:c r="M22" s="12"/>
      <x:c r="N22" s="12"/>
      <x:c r="O22" s="12"/>
      <x:c r="P22" s="12"/>
    </x:row>
    <x:row r="23" ht="44" customHeight="1">
      <x:c r="A23" s="10" t="d">
        <x:v>2026-10-23T00:00:00.000Z</x:v>
      </x:c>
      <x:c r="B23" s="9" t="str">
        <x:v>пт</x:v>
      </x:c>
      <x:c r="C23" s="9" t="n">
        <x:v>8</x:v>
      </x:c>
      <x:c r="D23" s="11" t="n">
        <x:v>6</x:v>
      </x:c>
      <x:c r="E23" s="9" t="str">
        <x:v>Лёгкий бег до 6 км на RPE 2–3. Сократить дистанцию при ограничениях дня или ухудшении состояния.</x:v>
      </x:c>
      <x:c r="F23" s="9"/>
      <x:c r="G23" s="12"/>
      <x:c r="H23" s="13"/>
      <x:c r="I23" s="12"/>
      <x:c r="J23" s="12"/>
      <x:c r="K23" s="12"/>
      <x:c r="L23" s="12"/>
      <x:c r="M23" s="12"/>
      <x:c r="N23" s="12"/>
      <x:c r="O23" s="12"/>
      <x:c r="P23" s="12"/>
    </x:row>
    <x:row r="24" ht="44" customHeight="1">
      <x:c r="A24" s="10" t="d">
        <x:v>2026-10-24T00:00:00.000Z</x:v>
      </x:c>
      <x:c r="B24" s="9" t="str">
        <x:v>сб</x:v>
      </x:c>
      <x:c r="C24" s="9" t="n">
        <x:v>8</x:v>
      </x:c>
      <x:c r="D24" s="11" t="n">
        <x:v>0</x:v>
      </x:c>
      <x:c r="E24" s="9" t="str">
        <x:v>Отдых от бега. Оценить восстановление и реакцию колена; пропущенные километры не догонять.</x:v>
      </x:c>
      <x:c r="F24" s="9"/>
      <x:c r="G24" s="12"/>
      <x:c r="H24" s="13"/>
      <x:c r="I24" s="12"/>
      <x:c r="J24" s="12"/>
      <x:c r="K24" s="12"/>
      <x:c r="L24" s="12"/>
      <x:c r="M24" s="12"/>
      <x:c r="N24" s="12"/>
      <x:c r="O24" s="12"/>
      <x:c r="P24" s="12"/>
    </x:row>
    <x:row r="25" ht="44" customHeight="1">
      <x:c r="A25" s="10" t="d">
        <x:v>2026-10-25T00:00:00.000Z</x:v>
      </x:c>
      <x:c r="B25" s="9" t="str">
        <x:v>вс</x:v>
      </x:c>
      <x:c r="C25" s="9" t="n">
        <x:v>8</x:v>
      </x:c>
      <x:c r="D25" s="11" t="n">
        <x:v>20</x:v>
      </x:c>
      <x:c r="E25" s="9" t="str">
        <x:v>Длительная до 20 км на RPE 2–3. Использовать проверенное чередование бега и ходьбы; заранее подготовить воду питание и выход с маршрута.</x:v>
      </x:c>
      <x:c r="F25" s="9"/>
      <x:c r="G25" s="12"/>
      <x:c r="H25" s="13"/>
      <x:c r="I25" s="12"/>
      <x:c r="J25" s="12"/>
      <x:c r="K25" s="12"/>
      <x:c r="L25" s="12"/>
      <x:c r="M25" s="12"/>
      <x:c r="N25" s="12"/>
      <x:c r="O25" s="12"/>
      <x:c r="P25" s="12"/>
    </x:row>
    <x:row r="26" ht="44" customHeight="1">
      <x:c r="A26" s="10" t="d">
        <x:v>2026-10-26T00:00:00.000Z</x:v>
      </x:c>
      <x:c r="B26" s="9" t="str">
        <x:v>пн</x:v>
      </x:c>
      <x:c r="C26" s="9" t="n">
        <x:v>9</x:v>
      </x:c>
      <x:c r="D26" s="11" t="n">
        <x:v>3</x:v>
      </x:c>
      <x:c r="E26" s="9" t="str">
        <x:v>Лёгкий бег до 3 км на RPE 2–3. Сократить дистанцию при ограничениях дня или ухудшении состояния.</x:v>
      </x:c>
      <x:c r="F26" s="9"/>
      <x:c r="G26" s="12"/>
      <x:c r="H26" s="13"/>
      <x:c r="I26" s="12"/>
      <x:c r="J26" s="12"/>
      <x:c r="K26" s="12"/>
      <x:c r="L26" s="12"/>
      <x:c r="M26" s="12"/>
      <x:c r="N26" s="12"/>
      <x:c r="O26" s="12"/>
      <x:c r="P26" s="12"/>
    </x:row>
    <x:row r="27" ht="44" customHeight="1">
      <x:c r="A27" s="10" t="d">
        <x:v>2026-10-27T00:00:00.000Z</x:v>
      </x:c>
      <x:c r="B27" s="9" t="str">
        <x:v>вт</x:v>
      </x:c>
      <x:c r="C27" s="9" t="n">
        <x:v>9</x:v>
      </x:c>
      <x:c r="D27" s="11" t="n">
        <x:v>5</x:v>
      </x:c>
      <x:c r="E27" s="9" t="str">
        <x:v>Лёгкий бег до 5 км на RPE 2–3. Сократить дистанцию при ограничениях дня или ухудшении состояния.</x:v>
      </x:c>
      <x:c r="F27" s="9"/>
      <x:c r="G27" s="12"/>
      <x:c r="H27" s="13"/>
      <x:c r="I27" s="12"/>
      <x:c r="J27" s="12"/>
      <x:c r="K27" s="12"/>
      <x:c r="L27" s="12"/>
      <x:c r="M27" s="12"/>
      <x:c r="N27" s="12"/>
      <x:c r="O27" s="12"/>
      <x:c r="P27" s="12"/>
    </x:row>
    <x:row r="28" ht="44" customHeight="1">
      <x:c r="A28" s="10" t="d">
        <x:v>2026-10-28T00:00:00.000Z</x:v>
      </x:c>
      <x:c r="B28" s="9" t="str">
        <x:v>ср</x:v>
      </x:c>
      <x:c r="C28" s="9" t="n">
        <x:v>9</x:v>
      </x:c>
      <x:c r="D28" s="11" t="n">
        <x:v>3</x:v>
      </x:c>
      <x:c r="E28" s="9" t="str">
        <x:v>Лёгкий бег до 3 км на RPE 2–3. Сократить дистанцию при ограничениях дня или ухудшении состояния.</x:v>
      </x:c>
      <x:c r="F28" s="9" t="str">
        <x:v>S2: бэнд 2×10, короткая стопа 2×5×5с, баланс 2×30с, dead bug 2×8</x:v>
      </x:c>
      <x:c r="G28" s="12"/>
      <x:c r="H28" s="13"/>
      <x:c r="I28" s="12"/>
      <x:c r="J28" s="12"/>
      <x:c r="K28" s="12"/>
      <x:c r="L28" s="12"/>
      <x:c r="M28" s="12"/>
      <x:c r="N28" s="12"/>
      <x:c r="O28" s="12"/>
      <x:c r="P28" s="12"/>
    </x:row>
    <x:row r="29" ht="44" customHeight="1">
      <x:c r="A29" s="10" t="d">
        <x:v>2026-10-29T00:00:00.000Z</x:v>
      </x:c>
      <x:c r="B29" s="9" t="str">
        <x:v>чт</x:v>
      </x:c>
      <x:c r="C29" s="9" t="n">
        <x:v>9</x:v>
      </x:c>
      <x:c r="D29" s="11" t="n">
        <x:v>0</x:v>
      </x:c>
      <x:c r="E29" s="9" t="str">
        <x:v>Отдых от бега. Оценить восстановление и реакцию колена; пропущенные километры не догонять.</x:v>
      </x:c>
      <x:c r="F29" s="9" t="str">
        <x:v>S1: присед/сплит 2–3×8–12, мост 2–3×12–15, икры 2–3×12–20, тяга 2–3×10–15, боковая планка 2–3×20–40с</x:v>
      </x:c>
      <x:c r="G29" s="12"/>
      <x:c r="H29" s="13"/>
      <x:c r="I29" s="12"/>
      <x:c r="J29" s="12"/>
      <x:c r="K29" s="12"/>
      <x:c r="L29" s="12"/>
      <x:c r="M29" s="12"/>
      <x:c r="N29" s="12"/>
      <x:c r="O29" s="12"/>
      <x:c r="P29" s="12"/>
    </x:row>
    <x:row r="30" ht="44" customHeight="1">
      <x:c r="A30" s="10" t="d">
        <x:v>2026-10-30T00:00:00.000Z</x:v>
      </x:c>
      <x:c r="B30" s="9" t="str">
        <x:v>пт</x:v>
      </x:c>
      <x:c r="C30" s="9" t="n">
        <x:v>9</x:v>
      </x:c>
      <x:c r="D30" s="11" t="n">
        <x:v>5</x:v>
      </x:c>
      <x:c r="E30" s="9" t="str">
        <x:v>Лёгкий бег до 5 км на RPE 2–3. Сократить дистанцию при ограничениях дня или ухудшении состояния.</x:v>
      </x:c>
      <x:c r="F30" s="9"/>
      <x:c r="G30" s="12"/>
      <x:c r="H30" s="13"/>
      <x:c r="I30" s="12"/>
      <x:c r="J30" s="12"/>
      <x:c r="K30" s="12"/>
      <x:c r="L30" s="12"/>
      <x:c r="M30" s="12"/>
      <x:c r="N30" s="12"/>
      <x:c r="O30" s="12"/>
      <x:c r="P30" s="12"/>
    </x:row>
    <x:row r="31" ht="44" customHeight="1">
      <x:c r="A31" s="10" t="d">
        <x:v>2026-10-31T00:00:00.000Z</x:v>
      </x:c>
      <x:c r="B31" s="9" t="str">
        <x:v>сб</x:v>
      </x:c>
      <x:c r="C31" s="9" t="n">
        <x:v>9</x:v>
      </x:c>
      <x:c r="D31" s="11" t="n">
        <x:v>0</x:v>
      </x:c>
      <x:c r="E31" s="9" t="str">
        <x:v>Отдых от бега. Оценить восстановление и реакцию колена; пропущенные километры не догонять.</x:v>
      </x:c>
      <x:c r="F31" s="9"/>
      <x:c r="G31" s="12"/>
      <x:c r="H31" s="13"/>
      <x:c r="I31" s="12"/>
      <x:c r="J31" s="12"/>
      <x:c r="K31" s="12"/>
      <x:c r="L31" s="12"/>
      <x:c r="M31" s="12"/>
      <x:c r="N31" s="12"/>
      <x:c r="O31" s="12"/>
      <x:c r="P31" s="12"/>
    </x:row>
    <x:row r="32" ht="44" customHeight="1">
      <x:c r="A32" s="10" t="d">
        <x:v>2026-11-01T00:00:00.000Z</x:v>
      </x:c>
      <x:c r="B32" s="9" t="str">
        <x:v>вс</x:v>
      </x:c>
      <x:c r="C32" s="9" t="n">
        <x:v>9</x:v>
      </x:c>
      <x:c r="D32" s="11" t="n">
        <x:v>14</x:v>
      </x:c>
      <x:c r="E32" s="9" t="str">
        <x:v>Длительная до 14 км на RPE 2–3. Использовать проверенное чередование бега и ходьбы; заранее подготовить воду питание и выход с маршрута.</x:v>
      </x:c>
      <x:c r="F32" s="9"/>
      <x:c r="G32" s="12"/>
      <x:c r="H32" s="13"/>
      <x:c r="I32" s="12"/>
      <x:c r="J32" s="12"/>
      <x:c r="K32" s="12"/>
      <x:c r="L32" s="12"/>
      <x:c r="M32" s="12"/>
      <x:c r="N32" s="12"/>
      <x:c r="O32" s="12"/>
      <x:c r="P32" s="12"/>
    </x:row>
    <x:row r="33" ht="44" customHeight="1">
      <x:c r="A33" s="10" t="d">
        <x:v>2026-11-02T00:00:00.000Z</x:v>
      </x:c>
      <x:c r="B33" s="9" t="str">
        <x:v>пн</x:v>
      </x:c>
      <x:c r="C33" s="9" t="n">
        <x:v>10</x:v>
      </x:c>
      <x:c r="D33" s="11" t="n">
        <x:v>4</x:v>
      </x:c>
      <x:c r="E33" s="9" t="str">
        <x:v>Лёгкий бег до 4 км на RPE 2–3. Сократить дистанцию при ограничениях дня или ухудшении состояния.</x:v>
      </x:c>
      <x:c r="F33" s="9"/>
      <x:c r="G33" s="12"/>
      <x:c r="H33" s="13"/>
      <x:c r="I33" s="12"/>
      <x:c r="J33" s="12"/>
      <x:c r="K33" s="12"/>
      <x:c r="L33" s="12"/>
      <x:c r="M33" s="12"/>
      <x:c r="N33" s="12"/>
      <x:c r="O33" s="12"/>
      <x:c r="P33" s="12"/>
    </x:row>
    <x:row r="34" ht="44" customHeight="1">
      <x:c r="A34" s="10" t="d">
        <x:v>2026-11-03T00:00:00.000Z</x:v>
      </x:c>
      <x:c r="B34" s="9" t="str">
        <x:v>вт</x:v>
      </x:c>
      <x:c r="C34" s="9" t="n">
        <x:v>10</x:v>
      </x:c>
      <x:c r="D34" s="11" t="n">
        <x:v>7</x:v>
      </x:c>
      <x:c r="E34" s="9" t="str">
        <x:v>Лёгкий бег до 7 км на RPE 2–3. Сократить дистанцию при ограничениях дня или ухудшении состояния.</x:v>
      </x:c>
      <x:c r="F34" s="9"/>
      <x:c r="G34" s="12"/>
      <x:c r="H34" s="13"/>
      <x:c r="I34" s="12"/>
      <x:c r="J34" s="12"/>
      <x:c r="K34" s="12"/>
      <x:c r="L34" s="12"/>
      <x:c r="M34" s="12"/>
      <x:c r="N34" s="12"/>
      <x:c r="O34" s="12"/>
      <x:c r="P34" s="12"/>
    </x:row>
    <x:row r="35" ht="46" customHeight="1">
      <x:c r="A35" s="10" t="d">
        <x:v>2026-11-04T00:00:00.000Z</x:v>
      </x:c>
      <x:c r="B35" s="9" t="str">
        <x:v>ср</x:v>
      </x:c>
      <x:c r="C35" s="9" t="n">
        <x:v>10</x:v>
      </x:c>
      <x:c r="D35" s="11" t="n">
        <x:v>4</x:v>
      </x:c>
      <x:c r="E35" s="9" t="str">
        <x:v>Привычный лёгкий контрольный бег на RPE 3 с разговором полными предложениями. Сравнить две части основного участка по ЧСС и усилию. Не увеличивать привычный объём.</x:v>
      </x:c>
      <x:c r="F35" s="9" t="str">
        <x:v>S2: бэнд 2×10, короткая стопа 2×5×5с, баланс 2×30с, dead bug 2×8</x:v>
      </x:c>
      <x:c r="G35" s="12"/>
      <x:c r="H35" s="13"/>
      <x:c r="I35" s="12"/>
      <x:c r="J35" s="12"/>
      <x:c r="K35" s="12"/>
      <x:c r="L35" s="12"/>
      <x:c r="M35" s="12"/>
      <x:c r="N35" s="12"/>
      <x:c r="O35" s="12"/>
      <x:c r="P35" s="12"/>
    </x:row>
    <x:row r="36" ht="44" customHeight="1">
      <x:c r="A36" s="10" t="d">
        <x:v>2026-11-05T00:00:00.000Z</x:v>
      </x:c>
      <x:c r="B36" s="9" t="str">
        <x:v>чт</x:v>
      </x:c>
      <x:c r="C36" s="9" t="n">
        <x:v>10</x:v>
      </x:c>
      <x:c r="D36" s="11" t="n">
        <x:v>0</x:v>
      </x:c>
      <x:c r="E36" s="9" t="str">
        <x:v>Отдых от бега. Оценить восстановление и реакцию колена; пропущенные километры не догонять.</x:v>
      </x:c>
      <x:c r="F36" s="9" t="str">
        <x:v>S1: присед/сплит 2–3×8–12, мост 2–3×12–15, икры 2–3×12–20, тяга 2–3×10–15, боковая планка 2–3×20–40с</x:v>
      </x:c>
      <x:c r="G36" s="12"/>
      <x:c r="H36" s="13"/>
      <x:c r="I36" s="12"/>
      <x:c r="J36" s="12"/>
      <x:c r="K36" s="12"/>
      <x:c r="L36" s="12"/>
      <x:c r="M36" s="12"/>
      <x:c r="N36" s="12"/>
      <x:c r="O36" s="12"/>
      <x:c r="P36" s="12"/>
    </x:row>
    <x:row r="37" ht="44" customHeight="1">
      <x:c r="A37" s="10" t="d">
        <x:v>2026-11-06T00:00:00.000Z</x:v>
      </x:c>
      <x:c r="B37" s="9" t="str">
        <x:v>пт</x:v>
      </x:c>
      <x:c r="C37" s="9" t="n">
        <x:v>10</x:v>
      </x:c>
      <x:c r="D37" s="11" t="n">
        <x:v>7</x:v>
      </x:c>
      <x:c r="E37" s="9" t="str">
        <x:v>Лёгкий бег до 7 км на RPE 2–3. Сократить дистанцию при ограничениях дня или ухудшении состояния.</x:v>
      </x:c>
      <x:c r="F37" s="9"/>
      <x:c r="G37" s="12"/>
      <x:c r="H37" s="13"/>
      <x:c r="I37" s="12"/>
      <x:c r="J37" s="12"/>
      <x:c r="K37" s="12"/>
      <x:c r="L37" s="12"/>
      <x:c r="M37" s="12"/>
      <x:c r="N37" s="12"/>
      <x:c r="O37" s="12"/>
      <x:c r="P37" s="12"/>
    </x:row>
    <x:row r="38" ht="44" customHeight="1">
      <x:c r="A38" s="10" t="d">
        <x:v>2026-11-07T00:00:00.000Z</x:v>
      </x:c>
      <x:c r="B38" s="9" t="str">
        <x:v>сб</x:v>
      </x:c>
      <x:c r="C38" s="9" t="n">
        <x:v>10</x:v>
      </x:c>
      <x:c r="D38" s="11" t="n">
        <x:v>0</x:v>
      </x:c>
      <x:c r="E38" s="9" t="str">
        <x:v>Отдых от бега. Оценить восстановление и реакцию колена; пропущенные километры не догонять.</x:v>
      </x:c>
      <x:c r="F38" s="9"/>
      <x:c r="G38" s="12"/>
      <x:c r="H38" s="13"/>
      <x:c r="I38" s="12"/>
      <x:c r="J38" s="12"/>
      <x:c r="K38" s="12"/>
      <x:c r="L38" s="12"/>
      <x:c r="M38" s="12"/>
      <x:c r="N38" s="12"/>
      <x:c r="O38" s="12"/>
      <x:c r="P38" s="12"/>
    </x:row>
    <x:row r="39" ht="44" customHeight="1">
      <x:c r="A39" s="10" t="d">
        <x:v>2026-11-08T00:00:00.000Z</x:v>
      </x:c>
      <x:c r="B39" s="9" t="str">
        <x:v>вс</x:v>
      </x:c>
      <x:c r="C39" s="9" t="n">
        <x:v>10</x:v>
      </x:c>
      <x:c r="D39" s="11" t="n">
        <x:v>20</x:v>
      </x:c>
      <x:c r="E39" s="9" t="str">
        <x:v>Длительная до 20 км на RPE 2–3. Использовать проверенное чередование бега и ходьбы; заранее подготовить воду питание и выход с маршрута.</x:v>
      </x:c>
      <x:c r="F39" s="9"/>
      <x:c r="G39" s="12"/>
      <x:c r="H39" s="13"/>
      <x:c r="I39" s="12"/>
      <x:c r="J39" s="12"/>
      <x:c r="K39" s="12"/>
      <x:c r="L39" s="12"/>
      <x:c r="M39" s="12"/>
      <x:c r="N39" s="12"/>
      <x:c r="O39" s="12"/>
      <x:c r="P39" s="12"/>
    </x:row>
    <x:row r="40" ht="44" customHeight="1">
      <x:c r="A40" s="10" t="d">
        <x:v>2026-11-09T00:00:00.000Z</x:v>
      </x:c>
      <x:c r="B40" s="9" t="str">
        <x:v>пн</x:v>
      </x:c>
      <x:c r="C40" s="9" t="n">
        <x:v>11</x:v>
      </x:c>
      <x:c r="D40" s="11" t="n">
        <x:v>4</x:v>
      </x:c>
      <x:c r="E40" s="9" t="str">
        <x:v>Лёгкий бег до 4 км на RPE 2–3. Сократить дистанцию при ограничениях дня или ухудшении состояния.</x:v>
      </x:c>
      <x:c r="F40" s="9"/>
      <x:c r="G40" s="12"/>
      <x:c r="H40" s="13"/>
      <x:c r="I40" s="12"/>
      <x:c r="J40" s="12"/>
      <x:c r="K40" s="12"/>
      <x:c r="L40" s="12"/>
      <x:c r="M40" s="12"/>
      <x:c r="N40" s="12"/>
      <x:c r="O40" s="12"/>
      <x:c r="P40" s="12"/>
    </x:row>
    <x:row r="41" ht="44" customHeight="1">
      <x:c r="A41" s="10" t="d">
        <x:v>2026-11-10T00:00:00.000Z</x:v>
      </x:c>
      <x:c r="B41" s="9" t="str">
        <x:v>вт</x:v>
      </x:c>
      <x:c r="C41" s="9" t="n">
        <x:v>11</x:v>
      </x:c>
      <x:c r="D41" s="11" t="n">
        <x:v>7</x:v>
      </x:c>
      <x:c r="E41" s="9" t="str">
        <x:v>Лёгкий бег до 7 км на RPE 2–3. Сократить дистанцию при ограничениях дня или ухудшении состояния.</x:v>
      </x:c>
      <x:c r="F41" s="9"/>
      <x:c r="G41" s="12"/>
      <x:c r="H41" s="13"/>
      <x:c r="I41" s="12"/>
      <x:c r="J41" s="12"/>
      <x:c r="K41" s="12"/>
      <x:c r="L41" s="12"/>
      <x:c r="M41" s="12"/>
      <x:c r="N41" s="12"/>
      <x:c r="O41" s="12"/>
      <x:c r="P41" s="12"/>
    </x:row>
    <x:row r="42" ht="44" customHeight="1">
      <x:c r="A42" s="10" t="d">
        <x:v>2026-11-11T00:00:00.000Z</x:v>
      </x:c>
      <x:c r="B42" s="9" t="str">
        <x:v>ср</x:v>
      </x:c>
      <x:c r="C42" s="9" t="n">
        <x:v>11</x:v>
      </x:c>
      <x:c r="D42" s="11" t="n">
        <x:v>4</x:v>
      </x:c>
      <x:c r="E42" s="9" t="str">
        <x:v>Лёгкий бег до 4 км на RPE 2–3. Сократить дистанцию при ограничениях дня или ухудшении состояния.</x:v>
      </x:c>
      <x:c r="F42" s="9" t="str">
        <x:v>S2: бэнд 2×10, короткая стопа 2×5×5с, баланс 2×30с, dead bug 2×8</x:v>
      </x:c>
      <x:c r="G42" s="12"/>
      <x:c r="H42" s="13"/>
      <x:c r="I42" s="12"/>
      <x:c r="J42" s="12"/>
      <x:c r="K42" s="12"/>
      <x:c r="L42" s="12"/>
      <x:c r="M42" s="12"/>
      <x:c r="N42" s="12"/>
      <x:c r="O42" s="12"/>
      <x:c r="P42" s="12"/>
    </x:row>
    <x:row r="43" ht="44" customHeight="1">
      <x:c r="A43" s="10" t="d">
        <x:v>2026-11-12T00:00:00.000Z</x:v>
      </x:c>
      <x:c r="B43" s="9" t="str">
        <x:v>чт</x:v>
      </x:c>
      <x:c r="C43" s="9" t="n">
        <x:v>11</x:v>
      </x:c>
      <x:c r="D43" s="11" t="n">
        <x:v>0</x:v>
      </x:c>
      <x:c r="E43" s="9" t="str">
        <x:v>Отдых от бега. Оценить восстановление и реакцию колена; пропущенные километры не догонять.</x:v>
      </x:c>
      <x:c r="F43" s="9" t="str">
        <x:v>S1: присед/сплит 2–3×8–12, мост 2–3×12–15, икры 2–3×12–20, тяга 2–3×10–15, боковая планка 2–3×20–40с</x:v>
      </x:c>
      <x:c r="G43" s="12"/>
      <x:c r="H43" s="13"/>
      <x:c r="I43" s="12"/>
      <x:c r="J43" s="12"/>
      <x:c r="K43" s="12"/>
      <x:c r="L43" s="12"/>
      <x:c r="M43" s="12"/>
      <x:c r="N43" s="12"/>
      <x:c r="O43" s="12"/>
      <x:c r="P43" s="12"/>
    </x:row>
    <x:row r="44" ht="44" customHeight="1">
      <x:c r="A44" s="10" t="d">
        <x:v>2026-11-13T00:00:00.000Z</x:v>
      </x:c>
      <x:c r="B44" s="9" t="str">
        <x:v>пт</x:v>
      </x:c>
      <x:c r="C44" s="9" t="n">
        <x:v>11</x:v>
      </x:c>
      <x:c r="D44" s="11" t="n">
        <x:v>7</x:v>
      </x:c>
      <x:c r="E44" s="9" t="str">
        <x:v>Лёгкий бег до 7 км на RPE 2–3. Сократить дистанцию при ограничениях дня или ухудшении состояния.</x:v>
      </x:c>
      <x:c r="F44" s="9"/>
      <x:c r="G44" s="12"/>
      <x:c r="H44" s="13"/>
      <x:c r="I44" s="12"/>
      <x:c r="J44" s="12"/>
      <x:c r="K44" s="12"/>
      <x:c r="L44" s="12"/>
      <x:c r="M44" s="12"/>
      <x:c r="N44" s="12"/>
      <x:c r="O44" s="12"/>
      <x:c r="P44" s="12"/>
    </x:row>
    <x:row r="45" ht="44" customHeight="1">
      <x:c r="A45" s="10" t="d">
        <x:v>2026-11-14T00:00:00.000Z</x:v>
      </x:c>
      <x:c r="B45" s="9" t="str">
        <x:v>сб</x:v>
      </x:c>
      <x:c r="C45" s="9" t="n">
        <x:v>11</x:v>
      </x:c>
      <x:c r="D45" s="11" t="n">
        <x:v>0</x:v>
      </x:c>
      <x:c r="E45" s="9" t="str">
        <x:v>Отдых от бега. Оценить восстановление и реакцию колена; пропущенные километры не догонять.</x:v>
      </x:c>
      <x:c r="F45" s="9"/>
      <x:c r="G45" s="12"/>
      <x:c r="H45" s="13"/>
      <x:c r="I45" s="12"/>
      <x:c r="J45" s="12"/>
      <x:c r="K45" s="12"/>
      <x:c r="L45" s="12"/>
      <x:c r="M45" s="12"/>
      <x:c r="N45" s="12"/>
      <x:c r="O45" s="12"/>
      <x:c r="P45" s="12"/>
    </x:row>
    <x:row r="46" ht="44" customHeight="1">
      <x:c r="A46" s="10" t="d">
        <x:v>2026-11-15T00:00:00.000Z</x:v>
      </x:c>
      <x:c r="B46" s="9" t="str">
        <x:v>вс</x:v>
      </x:c>
      <x:c r="C46" s="9" t="n">
        <x:v>11</x:v>
      </x:c>
      <x:c r="D46" s="11" t="n">
        <x:v>22</x:v>
      </x:c>
      <x:c r="E46" s="9" t="str">
        <x:v>Длительная до 22 км на RPE 2–3. Использовать проверенное чередование бега и ходьбы; заранее подготовить воду питание и выход с маршрута.</x:v>
      </x:c>
      <x:c r="F46" s="9"/>
      <x:c r="G46" s="12"/>
      <x:c r="H46" s="13"/>
      <x:c r="I46" s="12"/>
      <x:c r="J46" s="12"/>
      <x:c r="K46" s="12"/>
      <x:c r="L46" s="12"/>
      <x:c r="M46" s="12"/>
      <x:c r="N46" s="12"/>
      <x:c r="O46" s="12"/>
      <x:c r="P46" s="12"/>
    </x:row>
    <x:row r="47" ht="44" customHeight="1">
      <x:c r="A47" s="10" t="d">
        <x:v>2026-11-16T00:00:00.000Z</x:v>
      </x:c>
      <x:c r="B47" s="9" t="str">
        <x:v>пн</x:v>
      </x:c>
      <x:c r="C47" s="9" t="n">
        <x:v>12</x:v>
      </x:c>
      <x:c r="D47" s="11" t="n">
        <x:v>4</x:v>
      </x:c>
      <x:c r="E47" s="9" t="str">
        <x:v>Лёгкий бег до 4 км на RPE 2–3. Сократить дистанцию при ограничениях дня или ухудшении состояния.</x:v>
      </x:c>
      <x:c r="F47" s="9"/>
      <x:c r="G47" s="12"/>
      <x:c r="H47" s="13"/>
      <x:c r="I47" s="12"/>
      <x:c r="J47" s="12"/>
      <x:c r="K47" s="12"/>
      <x:c r="L47" s="12"/>
      <x:c r="M47" s="12"/>
      <x:c r="N47" s="12"/>
      <x:c r="O47" s="12"/>
      <x:c r="P47" s="12"/>
    </x:row>
    <x:row r="48" ht="44" customHeight="1">
      <x:c r="A48" s="10" t="d">
        <x:v>2026-11-17T00:00:00.000Z</x:v>
      </x:c>
      <x:c r="B48" s="9" t="str">
        <x:v>вт</x:v>
      </x:c>
      <x:c r="C48" s="9" t="n">
        <x:v>12</x:v>
      </x:c>
      <x:c r="D48" s="11" t="n">
        <x:v>7</x:v>
      </x:c>
      <x:c r="E48" s="9" t="str">
        <x:v>Лёгкий бег до 7 км на RPE 2–3. Сократить дистанцию при ограничениях дня или ухудшении состояния.</x:v>
      </x:c>
      <x:c r="F48" s="9"/>
      <x:c r="G48" s="12"/>
      <x:c r="H48" s="13"/>
      <x:c r="I48" s="12"/>
      <x:c r="J48" s="12"/>
      <x:c r="K48" s="12"/>
      <x:c r="L48" s="12"/>
      <x:c r="M48" s="12"/>
      <x:c r="N48" s="12"/>
      <x:c r="O48" s="12"/>
      <x:c r="P48" s="12"/>
    </x:row>
    <x:row r="49" ht="44" customHeight="1">
      <x:c r="A49" s="10" t="d">
        <x:v>2026-11-18T00:00:00.000Z</x:v>
      </x:c>
      <x:c r="B49" s="9" t="str">
        <x:v>ср</x:v>
      </x:c>
      <x:c r="C49" s="9" t="n">
        <x:v>12</x:v>
      </x:c>
      <x:c r="D49" s="11" t="n">
        <x:v>4</x:v>
      </x:c>
      <x:c r="E49" s="9" t="str">
        <x:v>Лёгкий бег до 4 км на RPE 2–3. Сократить дистанцию при ограничениях дня или ухудшении состояния.</x:v>
      </x:c>
      <x:c r="F49" s="9" t="str">
        <x:v>S2: бэнд 2×10, короткая стопа 2×5×5с, баланс 2×30с, dead bug 2×8</x:v>
      </x:c>
      <x:c r="G49" s="12"/>
      <x:c r="H49" s="13"/>
      <x:c r="I49" s="12"/>
      <x:c r="J49" s="12"/>
      <x:c r="K49" s="12"/>
      <x:c r="L49" s="12"/>
      <x:c r="M49" s="12"/>
      <x:c r="N49" s="12"/>
      <x:c r="O49" s="12"/>
      <x:c r="P49" s="12"/>
    </x:row>
    <x:row r="50" ht="44" customHeight="1">
      <x:c r="A50" s="10" t="d">
        <x:v>2026-11-19T00:00:00.000Z</x:v>
      </x:c>
      <x:c r="B50" s="9" t="str">
        <x:v>чт</x:v>
      </x:c>
      <x:c r="C50" s="9" t="n">
        <x:v>12</x:v>
      </x:c>
      <x:c r="D50" s="11" t="n">
        <x:v>0</x:v>
      </x:c>
      <x:c r="E50" s="9" t="str">
        <x:v>Отдых от бега. Оценить восстановление и реакцию колена; пропущенные километры не догонять.</x:v>
      </x:c>
      <x:c r="F50" s="9" t="str">
        <x:v>S1: присед/сплит 2–3×8–12, мост 2–3×12–15, икры 2–3×12–20, тяга 2–3×10–15, боковая планка 2–3×20–40с</x:v>
      </x:c>
      <x:c r="G50" s="12"/>
      <x:c r="H50" s="13"/>
      <x:c r="I50" s="12"/>
      <x:c r="J50" s="12"/>
      <x:c r="K50" s="12"/>
      <x:c r="L50" s="12"/>
      <x:c r="M50" s="12"/>
      <x:c r="N50" s="12"/>
      <x:c r="O50" s="12"/>
      <x:c r="P50" s="12"/>
    </x:row>
    <x:row r="51" ht="44" customHeight="1">
      <x:c r="A51" s="10" t="d">
        <x:v>2026-11-20T00:00:00.000Z</x:v>
      </x:c>
      <x:c r="B51" s="9" t="str">
        <x:v>пт</x:v>
      </x:c>
      <x:c r="C51" s="9" t="n">
        <x:v>12</x:v>
      </x:c>
      <x:c r="D51" s="11" t="n">
        <x:v>7</x:v>
      </x:c>
      <x:c r="E51" s="9" t="str">
        <x:v>Лёгкий бег до 7 км на RPE 2–3. Сократить дистанцию при ограничениях дня или ухудшении состояния.</x:v>
      </x:c>
      <x:c r="F51" s="9"/>
      <x:c r="G51" s="12"/>
      <x:c r="H51" s="13"/>
      <x:c r="I51" s="12"/>
      <x:c r="J51" s="12"/>
      <x:c r="K51" s="12"/>
      <x:c r="L51" s="12"/>
      <x:c r="M51" s="12"/>
      <x:c r="N51" s="12"/>
      <x:c r="O51" s="12"/>
      <x:c r="P51" s="12"/>
    </x:row>
    <x:row r="52" ht="44" customHeight="1">
      <x:c r="A52" s="10" t="d">
        <x:v>2026-11-21T00:00:00.000Z</x:v>
      </x:c>
      <x:c r="B52" s="9" t="str">
        <x:v>сб</x:v>
      </x:c>
      <x:c r="C52" s="9" t="n">
        <x:v>12</x:v>
      </x:c>
      <x:c r="D52" s="11" t="n">
        <x:v>0</x:v>
      </x:c>
      <x:c r="E52" s="9" t="str">
        <x:v>Отдых от бега. Оценить восстановление и реакцию колена; пропущенные километры не догонять.</x:v>
      </x:c>
      <x:c r="F52" s="9"/>
      <x:c r="G52" s="12"/>
      <x:c r="H52" s="13"/>
      <x:c r="I52" s="12"/>
      <x:c r="J52" s="12"/>
      <x:c r="K52" s="12"/>
      <x:c r="L52" s="12"/>
      <x:c r="M52" s="12"/>
      <x:c r="N52" s="12"/>
      <x:c r="O52" s="12"/>
      <x:c r="P52" s="12"/>
    </x:row>
    <x:row r="53" ht="44" customHeight="1">
      <x:c r="A53" s="10" t="d">
        <x:v>2026-11-22T00:00:00.000Z</x:v>
      </x:c>
      <x:c r="B53" s="9" t="str">
        <x:v>вс</x:v>
      </x:c>
      <x:c r="C53" s="9" t="n">
        <x:v>12</x:v>
      </x:c>
      <x:c r="D53" s="11" t="n">
        <x:v>24</x:v>
      </x:c>
      <x:c r="E53" s="9" t="str">
        <x:v>Длительная до 24 км на RPE 2–3. Использовать проверенное чередование бега и ходьбы; заранее подготовить воду питание и выход с маршрута.</x:v>
      </x:c>
      <x:c r="F53" s="9"/>
      <x:c r="G53" s="12"/>
      <x:c r="H53" s="13"/>
      <x:c r="I53" s="12"/>
      <x:c r="J53" s="12"/>
      <x:c r="K53" s="12"/>
      <x:c r="L53" s="12"/>
      <x:c r="M53" s="12"/>
      <x:c r="N53" s="12"/>
      <x:c r="O53" s="12"/>
      <x:c r="P53" s="12"/>
    </x:row>
    <x:row r="54" ht="44" customHeight="1">
      <x:c r="A54" s="10" t="d">
        <x:v>2026-11-23T00:00:00.000Z</x:v>
      </x:c>
      <x:c r="B54" s="9" t="str">
        <x:v>пн</x:v>
      </x:c>
      <x:c r="C54" s="9" t="n">
        <x:v>13</x:v>
      </x:c>
      <x:c r="D54" s="11" t="n">
        <x:v>4</x:v>
      </x:c>
      <x:c r="E54" s="9" t="str">
        <x:v>Лёгкий бег до 4 км на RPE 2–3. Сократить дистанцию при ограничениях дня или ухудшении состояния.</x:v>
      </x:c>
      <x:c r="F54" s="9"/>
      <x:c r="G54" s="12"/>
      <x:c r="H54" s="13"/>
      <x:c r="I54" s="12"/>
      <x:c r="J54" s="12"/>
      <x:c r="K54" s="12"/>
      <x:c r="L54" s="12"/>
      <x:c r="M54" s="12"/>
      <x:c r="N54" s="12"/>
      <x:c r="O54" s="12"/>
      <x:c r="P54" s="12"/>
    </x:row>
    <x:row r="55" ht="44" customHeight="1">
      <x:c r="A55" s="10" t="d">
        <x:v>2026-11-24T00:00:00.000Z</x:v>
      </x:c>
      <x:c r="B55" s="9" t="str">
        <x:v>вт</x:v>
      </x:c>
      <x:c r="C55" s="9" t="n">
        <x:v>13</x:v>
      </x:c>
      <x:c r="D55" s="11" t="n">
        <x:v>6</x:v>
      </x:c>
      <x:c r="E55" s="9" t="str">
        <x:v>Лёгкий бег до 6 км на RPE 2–3. Сократить дистанцию при ограничениях дня или ухудшении состояния.</x:v>
      </x:c>
      <x:c r="F55" s="9"/>
      <x:c r="G55" s="12"/>
      <x:c r="H55" s="13"/>
      <x:c r="I55" s="12"/>
      <x:c r="J55" s="12"/>
      <x:c r="K55" s="12"/>
      <x:c r="L55" s="12"/>
      <x:c r="M55" s="12"/>
      <x:c r="N55" s="12"/>
      <x:c r="O55" s="12"/>
      <x:c r="P55" s="12"/>
    </x:row>
    <x:row r="56" ht="44" customHeight="1">
      <x:c r="A56" s="10" t="d">
        <x:v>2026-11-25T00:00:00.000Z</x:v>
      </x:c>
      <x:c r="B56" s="9" t="str">
        <x:v>ср</x:v>
      </x:c>
      <x:c r="C56" s="9" t="n">
        <x:v>13</x:v>
      </x:c>
      <x:c r="D56" s="11" t="n">
        <x:v>3</x:v>
      </x:c>
      <x:c r="E56" s="9" t="str">
        <x:v>Лёгкий бег до 3 км на RPE 2–3. Сократить дистанцию при ограничениях дня или ухудшении состояния.</x:v>
      </x:c>
      <x:c r="F56" s="9" t="str">
        <x:v>S2: бэнд 2×10, короткая стопа 2×5×5с, баланс 2×30с, dead bug 2×8</x:v>
      </x:c>
      <x:c r="G56" s="12"/>
      <x:c r="H56" s="13"/>
      <x:c r="I56" s="12"/>
      <x:c r="J56" s="12"/>
      <x:c r="K56" s="12"/>
      <x:c r="L56" s="12"/>
      <x:c r="M56" s="12"/>
      <x:c r="N56" s="12"/>
      <x:c r="O56" s="12"/>
      <x:c r="P56" s="12"/>
    </x:row>
    <x:row r="57" ht="44" customHeight="1">
      <x:c r="A57" s="10" t="d">
        <x:v>2026-11-26T00:00:00.000Z</x:v>
      </x:c>
      <x:c r="B57" s="9" t="str">
        <x:v>чт</x:v>
      </x:c>
      <x:c r="C57" s="9" t="n">
        <x:v>13</x:v>
      </x:c>
      <x:c r="D57" s="11" t="n">
        <x:v>0</x:v>
      </x:c>
      <x:c r="E57" s="9" t="str">
        <x:v>Отдых от бега. Оценить восстановление и реакцию колена; пропущенные километры не догонять.</x:v>
      </x:c>
      <x:c r="F57" s="9" t="str">
        <x:v>S1: присед/сплит 2–3×8–12, мост 2–3×12–15, икры 2–3×12–20, тяга 2–3×10–15, боковая планка 2–3×20–40с</x:v>
      </x:c>
      <x:c r="G57" s="12"/>
      <x:c r="H57" s="13"/>
      <x:c r="I57" s="12"/>
      <x:c r="J57" s="12"/>
      <x:c r="K57" s="12"/>
      <x:c r="L57" s="12"/>
      <x:c r="M57" s="12"/>
      <x:c r="N57" s="12"/>
      <x:c r="O57" s="12"/>
      <x:c r="P57" s="12"/>
    </x:row>
    <x:row r="58" ht="44" customHeight="1">
      <x:c r="A58" s="10" t="d">
        <x:v>2026-11-27T00:00:00.000Z</x:v>
      </x:c>
      <x:c r="B58" s="9" t="str">
        <x:v>пт</x:v>
      </x:c>
      <x:c r="C58" s="9" t="n">
        <x:v>13</x:v>
      </x:c>
      <x:c r="D58" s="11" t="n">
        <x:v>5</x:v>
      </x:c>
      <x:c r="E58" s="9" t="str">
        <x:v>Лёгкий бег до 5 км на RPE 2–3. Сократить дистанцию при ограничениях дня или ухудшении состояния.</x:v>
      </x:c>
      <x:c r="F58" s="9"/>
      <x:c r="G58" s="12"/>
      <x:c r="H58" s="13"/>
      <x:c r="I58" s="12"/>
      <x:c r="J58" s="12"/>
      <x:c r="K58" s="12"/>
      <x:c r="L58" s="12"/>
      <x:c r="M58" s="12"/>
      <x:c r="N58" s="12"/>
      <x:c r="O58" s="12"/>
      <x:c r="P58" s="12"/>
    </x:row>
    <x:row r="59" ht="44" customHeight="1">
      <x:c r="A59" s="10" t="d">
        <x:v>2026-11-28T00:00:00.000Z</x:v>
      </x:c>
      <x:c r="B59" s="9" t="str">
        <x:v>сб</x:v>
      </x:c>
      <x:c r="C59" s="9" t="n">
        <x:v>13</x:v>
      </x:c>
      <x:c r="D59" s="11" t="n">
        <x:v>0</x:v>
      </x:c>
      <x:c r="E59" s="9" t="str">
        <x:v>Отдых от бега. Оценить восстановление и реакцию колена; пропущенные километры не догонять.</x:v>
      </x:c>
      <x:c r="F59" s="9"/>
      <x:c r="G59" s="12"/>
      <x:c r="H59" s="13"/>
      <x:c r="I59" s="12"/>
      <x:c r="J59" s="12"/>
      <x:c r="K59" s="12"/>
      <x:c r="L59" s="12"/>
      <x:c r="M59" s="12"/>
      <x:c r="N59" s="12"/>
      <x:c r="O59" s="12"/>
      <x:c r="P59" s="12"/>
    </x:row>
    <x:row r="60" ht="44" customHeight="1">
      <x:c r="A60" s="10" t="d">
        <x:v>2026-11-29T00:00:00.000Z</x:v>
      </x:c>
      <x:c r="B60" s="9" t="str">
        <x:v>вс</x:v>
      </x:c>
      <x:c r="C60" s="9" t="n">
        <x:v>13</x:v>
      </x:c>
      <x:c r="D60" s="11" t="n">
        <x:v>16</x:v>
      </x:c>
      <x:c r="E60" s="9" t="str">
        <x:v>Длительная до 16 км на RPE 2–3. Использовать проверенное чередование бега и ходьбы; заранее подготовить воду питание и выход с маршрута.</x:v>
      </x:c>
      <x:c r="F60" s="9"/>
      <x:c r="G60" s="12"/>
      <x:c r="H60" s="13"/>
      <x:c r="I60" s="12"/>
      <x:c r="J60" s="12"/>
      <x:c r="K60" s="12"/>
      <x:c r="L60" s="12"/>
      <x:c r="M60" s="12"/>
      <x:c r="N60" s="12"/>
      <x:c r="O60" s="12"/>
      <x:c r="P60" s="12"/>
    </x:row>
    <x:row r="61" ht="44" customHeight="1">
      <x:c r="A61" s="10" t="d">
        <x:v>2026-11-30T00:00:00.000Z</x:v>
      </x:c>
      <x:c r="B61" s="9" t="str">
        <x:v>пн</x:v>
      </x:c>
      <x:c r="C61" s="9" t="n">
        <x:v>14</x:v>
      </x:c>
      <x:c r="D61" s="11" t="n">
        <x:v>5</x:v>
      </x:c>
      <x:c r="E61" s="9" t="str">
        <x:v>Лёгкий бег до 5 км на RPE 2–3. Сократить дистанцию при ограничениях дня или ухудшении состояния.</x:v>
      </x:c>
      <x:c r="F61" s="9"/>
      <x:c r="G61" s="12"/>
      <x:c r="H61" s="13"/>
      <x:c r="I61" s="12"/>
      <x:c r="J61" s="12"/>
      <x:c r="K61" s="12"/>
      <x:c r="L61" s="12"/>
      <x:c r="M61" s="12"/>
      <x:c r="N61" s="12"/>
      <x:c r="O61" s="12"/>
      <x:c r="P61" s="12"/>
    </x:row>
    <x:row r="62" ht="44" customHeight="1">
      <x:c r="A62" s="10" t="d">
        <x:v>2026-12-01T00:00:00.000Z</x:v>
      </x:c>
      <x:c r="B62" s="9" t="str">
        <x:v>вт</x:v>
      </x:c>
      <x:c r="C62" s="9" t="n">
        <x:v>14</x:v>
      </x:c>
      <x:c r="D62" s="11" t="n">
        <x:v>7</x:v>
      </x:c>
      <x:c r="E62" s="9" t="str">
        <x:v>Лёгкий бег до 7 км на RPE 2–3. Сократить дистанцию при ограничениях дня или ухудшении состояния.</x:v>
      </x:c>
      <x:c r="F62" s="9"/>
      <x:c r="G62" s="12"/>
      <x:c r="H62" s="13"/>
      <x:c r="I62" s="12"/>
      <x:c r="J62" s="12"/>
      <x:c r="K62" s="12"/>
      <x:c r="L62" s="12"/>
      <x:c r="M62" s="12"/>
      <x:c r="N62" s="12"/>
      <x:c r="O62" s="12"/>
      <x:c r="P62" s="12"/>
    </x:row>
    <x:row r="63" ht="44" customHeight="1">
      <x:c r="A63" s="10" t="d">
        <x:v>2026-12-02T00:00:00.000Z</x:v>
      </x:c>
      <x:c r="B63" s="9" t="str">
        <x:v>ср</x:v>
      </x:c>
      <x:c r="C63" s="9" t="n">
        <x:v>14</x:v>
      </x:c>
      <x:c r="D63" s="11" t="n">
        <x:v>5</x:v>
      </x:c>
      <x:c r="E63" s="9" t="str">
        <x:v>Лёгкий бег до 5 км на RPE 2–3. Сократить дистанцию при ограничениях дня или ухудшении состояния.</x:v>
      </x:c>
      <x:c r="F63" s="9" t="str">
        <x:v>S2: бэнд 2×10, короткая стопа 2×5×5с, баланс 2×30с, dead bug 2×8</x:v>
      </x:c>
      <x:c r="G63" s="12"/>
      <x:c r="H63" s="13"/>
      <x:c r="I63" s="12"/>
      <x:c r="J63" s="12"/>
      <x:c r="K63" s="12"/>
      <x:c r="L63" s="12"/>
      <x:c r="M63" s="12"/>
      <x:c r="N63" s="12"/>
      <x:c r="O63" s="12"/>
      <x:c r="P63" s="12"/>
    </x:row>
    <x:row r="64" ht="44" customHeight="1">
      <x:c r="A64" s="10" t="d">
        <x:v>2026-12-03T00:00:00.000Z</x:v>
      </x:c>
      <x:c r="B64" s="9" t="str">
        <x:v>чт</x:v>
      </x:c>
      <x:c r="C64" s="9" t="n">
        <x:v>14</x:v>
      </x:c>
      <x:c r="D64" s="11" t="n">
        <x:v>0</x:v>
      </x:c>
      <x:c r="E64" s="9" t="str">
        <x:v>Отдых от бега. Оценить восстановление и реакцию колена; пропущенные километры не догонять.</x:v>
      </x:c>
      <x:c r="F64" s="9" t="str">
        <x:v>S1: присед/сплит 2–3×8–12, мост 2–3×12–15, икры 2–3×12–20, тяга 2–3×10–15, боковая планка 2–3×20–40с</x:v>
      </x:c>
      <x:c r="G64" s="12"/>
      <x:c r="H64" s="13"/>
      <x:c r="I64" s="12"/>
      <x:c r="J64" s="12"/>
      <x:c r="K64" s="12"/>
      <x:c r="L64" s="12"/>
      <x:c r="M64" s="12"/>
      <x:c r="N64" s="12"/>
      <x:c r="O64" s="12"/>
      <x:c r="P64" s="12"/>
    </x:row>
    <x:row r="65" ht="44" customHeight="1">
      <x:c r="A65" s="10" t="d">
        <x:v>2026-12-04T00:00:00.000Z</x:v>
      </x:c>
      <x:c r="B65" s="9" t="str">
        <x:v>пт</x:v>
      </x:c>
      <x:c r="C65" s="9" t="n">
        <x:v>14</x:v>
      </x:c>
      <x:c r="D65" s="11" t="n">
        <x:v>7</x:v>
      </x:c>
      <x:c r="E65" s="9" t="str">
        <x:v>Лёгкий бег до 7 км на RPE 2–3. Сократить дистанцию при ограничениях дня или ухудшении состояния.</x:v>
      </x:c>
      <x:c r="F65" s="9"/>
      <x:c r="G65" s="12"/>
      <x:c r="H65" s="13"/>
      <x:c r="I65" s="12"/>
      <x:c r="J65" s="12"/>
      <x:c r="K65" s="12"/>
      <x:c r="L65" s="12"/>
      <x:c r="M65" s="12"/>
      <x:c r="N65" s="12"/>
      <x:c r="O65" s="12"/>
      <x:c r="P65" s="12"/>
    </x:row>
    <x:row r="66" ht="44" customHeight="1">
      <x:c r="A66" s="10" t="d">
        <x:v>2026-12-05T00:00:00.000Z</x:v>
      </x:c>
      <x:c r="B66" s="9" t="str">
        <x:v>сб</x:v>
      </x:c>
      <x:c r="C66" s="9" t="n">
        <x:v>14</x:v>
      </x:c>
      <x:c r="D66" s="11" t="n">
        <x:v>0</x:v>
      </x:c>
      <x:c r="E66" s="9" t="str">
        <x:v>Отдых от бега. Оценить восстановление и реакцию колена; пропущенные километры не догонять.</x:v>
      </x:c>
      <x:c r="F66" s="9"/>
      <x:c r="G66" s="12"/>
      <x:c r="H66" s="13"/>
      <x:c r="I66" s="12"/>
      <x:c r="J66" s="12"/>
      <x:c r="K66" s="12"/>
      <x:c r="L66" s="12"/>
      <x:c r="M66" s="12"/>
      <x:c r="N66" s="12"/>
      <x:c r="O66" s="12"/>
      <x:c r="P66" s="12"/>
    </x:row>
    <x:row r="67" ht="44" customHeight="1">
      <x:c r="A67" s="10" t="d">
        <x:v>2026-12-06T00:00:00.000Z</x:v>
      </x:c>
      <x:c r="B67" s="9" t="str">
        <x:v>вс</x:v>
      </x:c>
      <x:c r="C67" s="9" t="n">
        <x:v>14</x:v>
      </x:c>
      <x:c r="D67" s="11" t="n">
        <x:v>24</x:v>
      </x:c>
      <x:c r="E67" s="9" t="str">
        <x:v>Длительная до 24 км на RPE 2–3. Использовать проверенное чередование бега и ходьбы; заранее подготовить воду питание и выход с маршрута.</x:v>
      </x:c>
      <x:c r="F67" s="9"/>
      <x:c r="G67" s="12"/>
      <x:c r="H67" s="13"/>
      <x:c r="I67" s="12"/>
      <x:c r="J67" s="12"/>
      <x:c r="K67" s="12"/>
      <x:c r="L67" s="12"/>
      <x:c r="M67" s="12"/>
      <x:c r="N67" s="12"/>
      <x:c r="O67" s="12"/>
      <x:c r="P67" s="12"/>
    </x:row>
    <x:row r="68" ht="44" customHeight="1">
      <x:c r="A68" s="10" t="d">
        <x:v>2026-12-07T00:00:00.000Z</x:v>
      </x:c>
      <x:c r="B68" s="9" t="str">
        <x:v>пн</x:v>
      </x:c>
      <x:c r="C68" s="9" t="n">
        <x:v>15</x:v>
      </x:c>
      <x:c r="D68" s="11" t="n">
        <x:v>5</x:v>
      </x:c>
      <x:c r="E68" s="9" t="str">
        <x:v>Лёгкий бег до 5 км на RPE 2–3. Сократить дистанцию при ограничениях дня или ухудшении состояния.</x:v>
      </x:c>
      <x:c r="F68" s="9"/>
      <x:c r="G68" s="12"/>
      <x:c r="H68" s="13"/>
      <x:c r="I68" s="12"/>
      <x:c r="J68" s="12"/>
      <x:c r="K68" s="12"/>
      <x:c r="L68" s="12"/>
      <x:c r="M68" s="12"/>
      <x:c r="N68" s="12"/>
      <x:c r="O68" s="12"/>
      <x:c r="P68" s="12"/>
    </x:row>
    <x:row r="69" ht="44" customHeight="1">
      <x:c r="A69" s="10" t="d">
        <x:v>2026-12-08T00:00:00.000Z</x:v>
      </x:c>
      <x:c r="B69" s="9" t="str">
        <x:v>вт</x:v>
      </x:c>
      <x:c r="C69" s="9" t="n">
        <x:v>15</x:v>
      </x:c>
      <x:c r="D69" s="11" t="n">
        <x:v>7</x:v>
      </x:c>
      <x:c r="E69" s="9" t="str">
        <x:v>Лёгкий бег до 7 км на RPE 2–3. Сократить дистанцию при ограничениях дня или ухудшении состояния.</x:v>
      </x:c>
      <x:c r="F69" s="9"/>
      <x:c r="G69" s="12"/>
      <x:c r="H69" s="13"/>
      <x:c r="I69" s="12"/>
      <x:c r="J69" s="12"/>
      <x:c r="K69" s="12"/>
      <x:c r="L69" s="12"/>
      <x:c r="M69" s="12"/>
      <x:c r="N69" s="12"/>
      <x:c r="O69" s="12"/>
      <x:c r="P69" s="12"/>
    </x:row>
    <x:row r="70" ht="44" customHeight="1">
      <x:c r="A70" s="10" t="d">
        <x:v>2026-12-09T00:00:00.000Z</x:v>
      </x:c>
      <x:c r="B70" s="9" t="str">
        <x:v>ср</x:v>
      </x:c>
      <x:c r="C70" s="9" t="n">
        <x:v>15</x:v>
      </x:c>
      <x:c r="D70" s="11" t="n">
        <x:v>5</x:v>
      </x:c>
      <x:c r="E70" s="9" t="str">
        <x:v>Лёгкий бег до 5 км на RPE 2–3. Сократить дистанцию при ограничениях дня или ухудшении состояния.</x:v>
      </x:c>
      <x:c r="F70" s="9" t="str">
        <x:v>S2: бэнд 2×10, короткая стопа 2×5×5с, баланс 2×30с, dead bug 2×8</x:v>
      </x:c>
      <x:c r="G70" s="12"/>
      <x:c r="H70" s="13"/>
      <x:c r="I70" s="12"/>
      <x:c r="J70" s="12"/>
      <x:c r="K70" s="12"/>
      <x:c r="L70" s="12"/>
      <x:c r="M70" s="12"/>
      <x:c r="N70" s="12"/>
      <x:c r="O70" s="12"/>
      <x:c r="P70" s="12"/>
    </x:row>
    <x:row r="71" ht="44" customHeight="1">
      <x:c r="A71" s="10" t="d">
        <x:v>2026-12-10T00:00:00.000Z</x:v>
      </x:c>
      <x:c r="B71" s="9" t="str">
        <x:v>чт</x:v>
      </x:c>
      <x:c r="C71" s="9" t="n">
        <x:v>15</x:v>
      </x:c>
      <x:c r="D71" s="11" t="n">
        <x:v>0</x:v>
      </x:c>
      <x:c r="E71" s="9" t="str">
        <x:v>Отдых от бега. Оценить восстановление и реакцию колена; пропущенные километры не догонять.</x:v>
      </x:c>
      <x:c r="F71" s="9" t="str">
        <x:v>S1: присед/сплит 2–3×8–12, мост 2–3×12–15, икры 2–3×12–20, тяга 2–3×10–15, боковая планка 2–3×20–40с</x:v>
      </x:c>
      <x:c r="G71" s="12"/>
      <x:c r="H71" s="13"/>
      <x:c r="I71" s="12"/>
      <x:c r="J71" s="12"/>
      <x:c r="K71" s="12"/>
      <x:c r="L71" s="12"/>
      <x:c r="M71" s="12"/>
      <x:c r="N71" s="12"/>
      <x:c r="O71" s="12"/>
      <x:c r="P71" s="12"/>
    </x:row>
    <x:row r="72" ht="44" customHeight="1">
      <x:c r="A72" s="10" t="d">
        <x:v>2026-12-11T00:00:00.000Z</x:v>
      </x:c>
      <x:c r="B72" s="9" t="str">
        <x:v>пт</x:v>
      </x:c>
      <x:c r="C72" s="9" t="n">
        <x:v>15</x:v>
      </x:c>
      <x:c r="D72" s="11" t="n">
        <x:v>7</x:v>
      </x:c>
      <x:c r="E72" s="9" t="str">
        <x:v>Лёгкий бег до 7 км на RPE 2–3. Сократить дистанцию при ограничениях дня или ухудшении состояния.</x:v>
      </x:c>
      <x:c r="F72" s="9"/>
      <x:c r="G72" s="12"/>
      <x:c r="H72" s="13"/>
      <x:c r="I72" s="12"/>
      <x:c r="J72" s="12"/>
      <x:c r="K72" s="12"/>
      <x:c r="L72" s="12"/>
      <x:c r="M72" s="12"/>
      <x:c r="N72" s="12"/>
      <x:c r="O72" s="12"/>
      <x:c r="P72" s="12"/>
    </x:row>
    <x:row r="73" ht="44" customHeight="1">
      <x:c r="A73" s="10" t="d">
        <x:v>2026-12-12T00:00:00.000Z</x:v>
      </x:c>
      <x:c r="B73" s="9" t="str">
        <x:v>сб</x:v>
      </x:c>
      <x:c r="C73" s="9" t="n">
        <x:v>15</x:v>
      </x:c>
      <x:c r="D73" s="11" t="n">
        <x:v>0</x:v>
      </x:c>
      <x:c r="E73" s="9" t="str">
        <x:v>Отдых от бега. Оценить восстановление и реакцию колена; пропущенные километры не догонять.</x:v>
      </x:c>
      <x:c r="F73" s="9"/>
      <x:c r="G73" s="12"/>
      <x:c r="H73" s="13"/>
      <x:c r="I73" s="12"/>
      <x:c r="J73" s="12"/>
      <x:c r="K73" s="12"/>
      <x:c r="L73" s="12"/>
      <x:c r="M73" s="12"/>
      <x:c r="N73" s="12"/>
      <x:c r="O73" s="12"/>
      <x:c r="P73" s="12"/>
    </x:row>
    <x:row r="74" ht="44" customHeight="1">
      <x:c r="A74" s="10" t="d">
        <x:v>2026-12-13T00:00:00.000Z</x:v>
      </x:c>
      <x:c r="B74" s="9" t="str">
        <x:v>вс</x:v>
      </x:c>
      <x:c r="C74" s="9" t="n">
        <x:v>15</x:v>
      </x:c>
      <x:c r="D74" s="11" t="n">
        <x:v>26</x:v>
      </x:c>
      <x:c r="E74" s="9" t="str">
        <x:v>Длительная до 26 км на RPE 2–3. Использовать проверенное чередование бега и ходьбы; заранее подготовить воду питание и выход с маршрута.</x:v>
      </x:c>
      <x:c r="F74" s="9"/>
      <x:c r="G74" s="12"/>
      <x:c r="H74" s="13"/>
      <x:c r="I74" s="12"/>
      <x:c r="J74" s="12"/>
      <x:c r="K74" s="12"/>
      <x:c r="L74" s="12"/>
      <x:c r="M74" s="12"/>
      <x:c r="N74" s="12"/>
      <x:c r="O74" s="12"/>
      <x:c r="P74" s="12"/>
    </x:row>
    <x:row r="75" ht="44" customHeight="1">
      <x:c r="A75" s="10" t="d">
        <x:v>2026-12-14T00:00:00.000Z</x:v>
      </x:c>
      <x:c r="B75" s="9" t="str">
        <x:v>пн</x:v>
      </x:c>
      <x:c r="C75" s="9" t="n">
        <x:v>16</x:v>
      </x:c>
      <x:c r="D75" s="11" t="n">
        <x:v>5</x:v>
      </x:c>
      <x:c r="E75" s="9" t="str">
        <x:v>Лёгкий бег до 5 км на RPE 2–3. Сократить дистанцию при ограничениях дня или ухудшении состояния.</x:v>
      </x:c>
      <x:c r="F75" s="9"/>
      <x:c r="G75" s="12"/>
      <x:c r="H75" s="13"/>
      <x:c r="I75" s="12"/>
      <x:c r="J75" s="12"/>
      <x:c r="K75" s="12"/>
      <x:c r="L75" s="12"/>
      <x:c r="M75" s="12"/>
      <x:c r="N75" s="12"/>
      <x:c r="O75" s="12"/>
      <x:c r="P75" s="12"/>
    </x:row>
    <x:row r="76" ht="44" customHeight="1">
      <x:c r="A76" s="10" t="d">
        <x:v>2026-12-15T00:00:00.000Z</x:v>
      </x:c>
      <x:c r="B76" s="9" t="str">
        <x:v>вт</x:v>
      </x:c>
      <x:c r="C76" s="9" t="n">
        <x:v>16</x:v>
      </x:c>
      <x:c r="D76" s="11" t="n">
        <x:v>8</x:v>
      </x:c>
      <x:c r="E76" s="9" t="str">
        <x:v>Лёгкий бег до 8 км на RPE 2–3. Сократить дистанцию при ограничениях дня или ухудшении состояния.</x:v>
      </x:c>
      <x:c r="F76" s="9"/>
      <x:c r="G76" s="12"/>
      <x:c r="H76" s="13"/>
      <x:c r="I76" s="12"/>
      <x:c r="J76" s="12"/>
      <x:c r="K76" s="12"/>
      <x:c r="L76" s="12"/>
      <x:c r="M76" s="12"/>
      <x:c r="N76" s="12"/>
      <x:c r="O76" s="12"/>
      <x:c r="P76" s="12"/>
    </x:row>
    <x:row r="77" ht="44" customHeight="1">
      <x:c r="A77" s="10" t="d">
        <x:v>2026-12-16T00:00:00.000Z</x:v>
      </x:c>
      <x:c r="B77" s="9" t="str">
        <x:v>ср</x:v>
      </x:c>
      <x:c r="C77" s="9" t="n">
        <x:v>16</x:v>
      </x:c>
      <x:c r="D77" s="11" t="n">
        <x:v>5</x:v>
      </x:c>
      <x:c r="E77" s="9" t="str">
        <x:v>Лёгкий бег до 5 км на RPE 2–3. Сократить дистанцию при ограничениях дня или ухудшении состояния.</x:v>
      </x:c>
      <x:c r="F77" s="9" t="str">
        <x:v>S2: бэнд 2×10, короткая стопа 2×5×5с, баланс 2×30с, dead bug 2×8</x:v>
      </x:c>
      <x:c r="G77" s="12"/>
      <x:c r="H77" s="13"/>
      <x:c r="I77" s="12"/>
      <x:c r="J77" s="12"/>
      <x:c r="K77" s="12"/>
      <x:c r="L77" s="12"/>
      <x:c r="M77" s="12"/>
      <x:c r="N77" s="12"/>
      <x:c r="O77" s="12"/>
      <x:c r="P77" s="12"/>
    </x:row>
    <x:row r="78" ht="44" customHeight="1">
      <x:c r="A78" s="10" t="d">
        <x:v>2026-12-17T00:00:00.000Z</x:v>
      </x:c>
      <x:c r="B78" s="9" t="str">
        <x:v>чт</x:v>
      </x:c>
      <x:c r="C78" s="9" t="n">
        <x:v>16</x:v>
      </x:c>
      <x:c r="D78" s="11" t="n">
        <x:v>0</x:v>
      </x:c>
      <x:c r="E78" s="9" t="str">
        <x:v>Отдых от бега. Оценить восстановление и реакцию колена; пропущенные километры не догонять.</x:v>
      </x:c>
      <x:c r="F78" s="9" t="str">
        <x:v>S1: присед/сплит 2–3×8–12, мост 2–3×12–15, икры 2–3×12–20, тяга 2–3×10–15, боковая планка 2–3×20–40с</x:v>
      </x:c>
      <x:c r="G78" s="12"/>
      <x:c r="H78" s="13"/>
      <x:c r="I78" s="12"/>
      <x:c r="J78" s="12"/>
      <x:c r="K78" s="12"/>
      <x:c r="L78" s="12"/>
      <x:c r="M78" s="12"/>
      <x:c r="N78" s="12"/>
      <x:c r="O78" s="12"/>
      <x:c r="P78" s="12"/>
    </x:row>
    <x:row r="79" ht="44" customHeight="1">
      <x:c r="A79" s="10" t="d">
        <x:v>2026-12-18T00:00:00.000Z</x:v>
      </x:c>
      <x:c r="B79" s="9" t="str">
        <x:v>пт</x:v>
      </x:c>
      <x:c r="C79" s="9" t="n">
        <x:v>16</x:v>
      </x:c>
      <x:c r="D79" s="11" t="n">
        <x:v>8</x:v>
      </x:c>
      <x:c r="E79" s="9" t="str">
        <x:v>Лёгкий бег до 8 км на RPE 2–3. Сократить дистанцию при ограничениях дня или ухудшении состояния.</x:v>
      </x:c>
      <x:c r="F79" s="9"/>
      <x:c r="G79" s="12"/>
      <x:c r="H79" s="13"/>
      <x:c r="I79" s="12"/>
      <x:c r="J79" s="12"/>
      <x:c r="K79" s="12"/>
      <x:c r="L79" s="12"/>
      <x:c r="M79" s="12"/>
      <x:c r="N79" s="12"/>
      <x:c r="O79" s="12"/>
      <x:c r="P79" s="12"/>
    </x:row>
    <x:row r="80" ht="44" customHeight="1">
      <x:c r="A80" s="10" t="d">
        <x:v>2026-12-19T00:00:00.000Z</x:v>
      </x:c>
      <x:c r="B80" s="9" t="str">
        <x:v>сб</x:v>
      </x:c>
      <x:c r="C80" s="9" t="n">
        <x:v>16</x:v>
      </x:c>
      <x:c r="D80" s="11" t="n">
        <x:v>0</x:v>
      </x:c>
      <x:c r="E80" s="9" t="str">
        <x:v>Отдых от бега. Оценить восстановление и реакцию колена; пропущенные километры не догонять.</x:v>
      </x:c>
      <x:c r="F80" s="9"/>
      <x:c r="G80" s="12"/>
      <x:c r="H80" s="13"/>
      <x:c r="I80" s="12"/>
      <x:c r="J80" s="12"/>
      <x:c r="K80" s="12"/>
      <x:c r="L80" s="12"/>
      <x:c r="M80" s="12"/>
      <x:c r="N80" s="12"/>
      <x:c r="O80" s="12"/>
      <x:c r="P80" s="12"/>
    </x:row>
    <x:row r="81" ht="44" customHeight="1">
      <x:c r="A81" s="10" t="d">
        <x:v>2026-12-20T00:00:00.000Z</x:v>
      </x:c>
      <x:c r="B81" s="9" t="str">
        <x:v>вс</x:v>
      </x:c>
      <x:c r="C81" s="9" t="n">
        <x:v>16</x:v>
      </x:c>
      <x:c r="D81" s="11" t="n">
        <x:v>26</x:v>
      </x:c>
      <x:c r="E81" s="9" t="str">
        <x:v>Длительная до 26 км на RPE 2–3. Использовать проверенное чередование бега и ходьбы; заранее подготовить воду питание и выход с маршрута.</x:v>
      </x:c>
      <x:c r="F81" s="9"/>
      <x:c r="G81" s="12"/>
      <x:c r="H81" s="13"/>
      <x:c r="I81" s="12"/>
      <x:c r="J81" s="12"/>
      <x:c r="K81" s="12"/>
      <x:c r="L81" s="12"/>
      <x:c r="M81" s="12"/>
      <x:c r="N81" s="12"/>
      <x:c r="O81" s="12"/>
      <x:c r="P81" s="12"/>
    </x:row>
    <x:row r="82" ht="44" customHeight="1">
      <x:c r="A82" s="10" t="d">
        <x:v>2026-12-21T00:00:00.000Z</x:v>
      </x:c>
      <x:c r="B82" s="9" t="str">
        <x:v>пн</x:v>
      </x:c>
      <x:c r="C82" s="9" t="n">
        <x:v>17</x:v>
      </x:c>
      <x:c r="D82" s="11" t="n">
        <x:v>4</x:v>
      </x:c>
      <x:c r="E82" s="9" t="str">
        <x:v>Лёгкий бег до 4 км на RPE 2–3. Сократить дистанцию при ограничениях дня или ухудшении состояния.</x:v>
      </x:c>
      <x:c r="F82" s="9"/>
      <x:c r="G82" s="12"/>
      <x:c r="H82" s="13"/>
      <x:c r="I82" s="12"/>
      <x:c r="J82" s="12"/>
      <x:c r="K82" s="12"/>
      <x:c r="L82" s="12"/>
      <x:c r="M82" s="12"/>
      <x:c r="N82" s="12"/>
      <x:c r="O82" s="12"/>
      <x:c r="P82" s="12"/>
    </x:row>
    <x:row r="83" ht="44" customHeight="1">
      <x:c r="A83" s="10" t="d">
        <x:v>2026-12-22T00:00:00.000Z</x:v>
      </x:c>
      <x:c r="B83" s="9" t="str">
        <x:v>вт</x:v>
      </x:c>
      <x:c r="C83" s="9" t="n">
        <x:v>17</x:v>
      </x:c>
      <x:c r="D83" s="11" t="n">
        <x:v>6</x:v>
      </x:c>
      <x:c r="E83" s="9" t="str">
        <x:v>Лёгкий бег до 6 км на RPE 2–3. Сократить дистанцию при ограничениях дня или ухудшении состояния.</x:v>
      </x:c>
      <x:c r="F83" s="9"/>
      <x:c r="G83" s="12"/>
      <x:c r="H83" s="13"/>
      <x:c r="I83" s="12"/>
      <x:c r="J83" s="12"/>
      <x:c r="K83" s="12"/>
      <x:c r="L83" s="12"/>
      <x:c r="M83" s="12"/>
      <x:c r="N83" s="12"/>
      <x:c r="O83" s="12"/>
      <x:c r="P83" s="12"/>
    </x:row>
    <x:row r="84" ht="44" customHeight="1">
      <x:c r="A84" s="10" t="d">
        <x:v>2026-12-23T00:00:00.000Z</x:v>
      </x:c>
      <x:c r="B84" s="9" t="str">
        <x:v>ср</x:v>
      </x:c>
      <x:c r="C84" s="9" t="n">
        <x:v>17</x:v>
      </x:c>
      <x:c r="D84" s="11" t="n">
        <x:v>4</x:v>
      </x:c>
      <x:c r="E84" s="9" t="str">
        <x:v>Лёгкий бег до 4 км на RPE 2–3. Сократить дистанцию при ограничениях дня или ухудшении состояния.</x:v>
      </x:c>
      <x:c r="F84" s="9" t="str">
        <x:v>S2: бэнд 2×10, короткая стопа 2×5×5с, баланс 2×30с, dead bug 2×8</x:v>
      </x:c>
      <x:c r="G84" s="12"/>
      <x:c r="H84" s="13"/>
      <x:c r="I84" s="12"/>
      <x:c r="J84" s="12"/>
      <x:c r="K84" s="12"/>
      <x:c r="L84" s="12"/>
      <x:c r="M84" s="12"/>
      <x:c r="N84" s="12"/>
      <x:c r="O84" s="12"/>
      <x:c r="P84" s="12"/>
    </x:row>
    <x:row r="85" ht="44" customHeight="1">
      <x:c r="A85" s="10" t="d">
        <x:v>2026-12-24T00:00:00.000Z</x:v>
      </x:c>
      <x:c r="B85" s="9" t="str">
        <x:v>чт</x:v>
      </x:c>
      <x:c r="C85" s="9" t="n">
        <x:v>17</x:v>
      </x:c>
      <x:c r="D85" s="11" t="n">
        <x:v>0</x:v>
      </x:c>
      <x:c r="E85" s="9" t="str">
        <x:v>Отдых от бега. Оценить восстановление и реакцию колена; пропущенные километры не догонять.</x:v>
      </x:c>
      <x:c r="F85" s="9" t="str">
        <x:v>S1: присед/сплит 2–3×8–12, мост 2–3×12–15, икры 2–3×12–20, тяга 2–3×10–15, боковая планка 2–3×20–40с</x:v>
      </x:c>
      <x:c r="G85" s="12"/>
      <x:c r="H85" s="13"/>
      <x:c r="I85" s="12"/>
      <x:c r="J85" s="12"/>
      <x:c r="K85" s="12"/>
      <x:c r="L85" s="12"/>
      <x:c r="M85" s="12"/>
      <x:c r="N85" s="12"/>
      <x:c r="O85" s="12"/>
      <x:c r="P85" s="12"/>
    </x:row>
    <x:row r="86" ht="44" customHeight="1">
      <x:c r="A86" s="10" t="d">
        <x:v>2026-12-25T00:00:00.000Z</x:v>
      </x:c>
      <x:c r="B86" s="9" t="str">
        <x:v>пт</x:v>
      </x:c>
      <x:c r="C86" s="9" t="n">
        <x:v>17</x:v>
      </x:c>
      <x:c r="D86" s="11" t="n">
        <x:v>6</x:v>
      </x:c>
      <x:c r="E86" s="9" t="str">
        <x:v>Лёгкий бег до 6 км на RPE 2–3. Сократить дистанцию при ограничениях дня или ухудшении состояния.</x:v>
      </x:c>
      <x:c r="F86" s="9"/>
      <x:c r="G86" s="12"/>
      <x:c r="H86" s="13"/>
      <x:c r="I86" s="12"/>
      <x:c r="J86" s="12"/>
      <x:c r="K86" s="12"/>
      <x:c r="L86" s="12"/>
      <x:c r="M86" s="12"/>
      <x:c r="N86" s="12"/>
      <x:c r="O86" s="12"/>
      <x:c r="P86" s="12"/>
    </x:row>
    <x:row r="87" ht="44" customHeight="1">
      <x:c r="A87" s="10" t="d">
        <x:v>2026-12-26T00:00:00.000Z</x:v>
      </x:c>
      <x:c r="B87" s="9" t="str">
        <x:v>сб</x:v>
      </x:c>
      <x:c r="C87" s="9" t="n">
        <x:v>17</x:v>
      </x:c>
      <x:c r="D87" s="11" t="n">
        <x:v>0</x:v>
      </x:c>
      <x:c r="E87" s="9" t="str">
        <x:v>Отдых от бега. Оценить восстановление и реакцию колена; пропущенные километры не догонять.</x:v>
      </x:c>
      <x:c r="F87" s="9"/>
      <x:c r="G87" s="12"/>
      <x:c r="H87" s="13"/>
      <x:c r="I87" s="12"/>
      <x:c r="J87" s="12"/>
      <x:c r="K87" s="12"/>
      <x:c r="L87" s="12"/>
      <x:c r="M87" s="12"/>
      <x:c r="N87" s="12"/>
      <x:c r="O87" s="12"/>
      <x:c r="P87" s="12"/>
    </x:row>
    <x:row r="88" ht="44" customHeight="1">
      <x:c r="A88" s="10" t="d">
        <x:v>2026-12-27T00:00:00.000Z</x:v>
      </x:c>
      <x:c r="B88" s="9" t="str">
        <x:v>вс</x:v>
      </x:c>
      <x:c r="C88" s="9" t="n">
        <x:v>17</x:v>
      </x:c>
      <x:c r="D88" s="11" t="n">
        <x:v>18</x:v>
      </x:c>
      <x:c r="E88" s="9" t="str">
        <x:v>Длительная до 18 км на RPE 2–3. Использовать проверенное чередование бега и ходьбы; заранее подготовить воду питание и выход с маршрута.</x:v>
      </x:c>
      <x:c r="F88" s="9"/>
      <x:c r="G88" s="12"/>
      <x:c r="H88" s="13"/>
      <x:c r="I88" s="12"/>
      <x:c r="J88" s="12"/>
      <x:c r="K88" s="12"/>
      <x:c r="L88" s="12"/>
      <x:c r="M88" s="12"/>
      <x:c r="N88" s="12"/>
      <x:c r="O88" s="12"/>
      <x:c r="P88" s="12"/>
    </x:row>
    <x:row r="89" ht="44" customHeight="1">
      <x:c r="A89" s="10" t="d">
        <x:v>2026-12-28T00:00:00.000Z</x:v>
      </x:c>
      <x:c r="B89" s="9" t="str">
        <x:v>пн</x:v>
      </x:c>
      <x:c r="C89" s="9" t="n">
        <x:v>18</x:v>
      </x:c>
      <x:c r="D89" s="11" t="n">
        <x:v>5</x:v>
      </x:c>
      <x:c r="E89" s="9" t="str">
        <x:v>Лёгкий бег до 5 км на RPE 2–3. Сократить дистанцию при ограничениях дня или ухудшении состояния.</x:v>
      </x:c>
      <x:c r="F89" s="9"/>
      <x:c r="G89" s="12"/>
      <x:c r="H89" s="13"/>
      <x:c r="I89" s="12"/>
      <x:c r="J89" s="12"/>
      <x:c r="K89" s="12"/>
      <x:c r="L89" s="12"/>
      <x:c r="M89" s="12"/>
      <x:c r="N89" s="12"/>
      <x:c r="O89" s="12"/>
      <x:c r="P89" s="12"/>
    </x:row>
    <x:row r="90" ht="44" customHeight="1">
      <x:c r="A90" s="10" t="d">
        <x:v>2026-12-29T00:00:00.000Z</x:v>
      </x:c>
      <x:c r="B90" s="9" t="str">
        <x:v>вт</x:v>
      </x:c>
      <x:c r="C90" s="9" t="n">
        <x:v>18</x:v>
      </x:c>
      <x:c r="D90" s="11" t="n">
        <x:v>8</x:v>
      </x:c>
      <x:c r="E90" s="9" t="str">
        <x:v>Лёгкий бег до 8 км на RPE 2–3. Сократить дистанцию при ограничениях дня или ухудшении состояния.</x:v>
      </x:c>
      <x:c r="F90" s="9"/>
      <x:c r="G90" s="12"/>
      <x:c r="H90" s="13"/>
      <x:c r="I90" s="12"/>
      <x:c r="J90" s="12"/>
      <x:c r="K90" s="12"/>
      <x:c r="L90" s="12"/>
      <x:c r="M90" s="12"/>
      <x:c r="N90" s="12"/>
      <x:c r="O90" s="12"/>
      <x:c r="P90" s="12"/>
    </x:row>
    <x:row r="91" ht="44" customHeight="1">
      <x:c r="A91" s="10" t="d">
        <x:v>2026-12-30T00:00:00.000Z</x:v>
      </x:c>
      <x:c r="B91" s="9" t="str">
        <x:v>ср</x:v>
      </x:c>
      <x:c r="C91" s="9" t="n">
        <x:v>18</x:v>
      </x:c>
      <x:c r="D91" s="11" t="n">
        <x:v>5</x:v>
      </x:c>
      <x:c r="E91" s="9" t="str">
        <x:v>Лёгкий бег до 5 км на RPE 2–3. Сократить дистанцию при ограничениях дня или ухудшении состояния.</x:v>
      </x:c>
      <x:c r="F91" s="9" t="str">
        <x:v>S2: бэнд 2×10, короткая стопа 2×5×5с, баланс 2×30с, dead bug 2×8</x:v>
      </x:c>
      <x:c r="G91" s="12"/>
      <x:c r="H91" s="13"/>
      <x:c r="I91" s="12"/>
      <x:c r="J91" s="12"/>
      <x:c r="K91" s="12"/>
      <x:c r="L91" s="12"/>
      <x:c r="M91" s="12"/>
      <x:c r="N91" s="12"/>
      <x:c r="O91" s="12"/>
      <x:c r="P91" s="12"/>
    </x:row>
    <x:row r="92" ht="44" customHeight="1">
      <x:c r="A92" s="10" t="d">
        <x:v>2026-12-31T00:00:00.000Z</x:v>
      </x:c>
      <x:c r="B92" s="9" t="str">
        <x:v>чт</x:v>
      </x:c>
      <x:c r="C92" s="9" t="n">
        <x:v>18</x:v>
      </x:c>
      <x:c r="D92" s="11" t="n">
        <x:v>0</x:v>
      </x:c>
      <x:c r="E92" s="9" t="str">
        <x:v>Отдых от бега. Оценить восстановление и реакцию колена; пропущенные километры не догонять.</x:v>
      </x:c>
      <x:c r="F92" s="9" t="str">
        <x:v>S1: присед/сплит 2–3×8–12, мост 2–3×12–15, икры 2–3×12–20, тяга 2–3×10–15, боковая планка 2–3×20–40с</x:v>
      </x:c>
      <x:c r="G92" s="12"/>
      <x:c r="H92" s="13"/>
      <x:c r="I92" s="12"/>
      <x:c r="J92" s="12"/>
      <x:c r="K92" s="12"/>
      <x:c r="L92" s="12"/>
      <x:c r="M92" s="12"/>
      <x:c r="N92" s="12"/>
      <x:c r="O92" s="12"/>
      <x:c r="P92" s="12"/>
    </x:row>
    <x:row r="93" ht="44" customHeight="1">
      <x:c r="A93" s="10" t="d">
        <x:v>2027-01-01T00:00:00.000Z</x:v>
      </x:c>
      <x:c r="B93" s="9" t="str">
        <x:v>пт</x:v>
      </x:c>
      <x:c r="C93" s="9" t="n">
        <x:v>18</x:v>
      </x:c>
      <x:c r="D93" s="11" t="n">
        <x:v>8</x:v>
      </x:c>
      <x:c r="E93" s="9" t="str">
        <x:v>Лёгкий бег до 8 км на RPE 2–3. Сократить дистанцию при ограничениях дня или ухудшении состояния.</x:v>
      </x:c>
      <x:c r="F93" s="9"/>
      <x:c r="G93" s="12"/>
      <x:c r="H93" s="13"/>
      <x:c r="I93" s="12"/>
      <x:c r="J93" s="12"/>
      <x:c r="K93" s="12"/>
      <x:c r="L93" s="12"/>
      <x:c r="M93" s="12"/>
      <x:c r="N93" s="12"/>
      <x:c r="O93" s="12"/>
      <x:c r="P93" s="12"/>
    </x:row>
    <x:row r="94" ht="44" customHeight="1">
      <x:c r="A94" s="10" t="d">
        <x:v>2027-01-02T00:00:00.000Z</x:v>
      </x:c>
      <x:c r="B94" s="9" t="str">
        <x:v>сб</x:v>
      </x:c>
      <x:c r="C94" s="9" t="n">
        <x:v>18</x:v>
      </x:c>
      <x:c r="D94" s="11" t="n">
        <x:v>0</x:v>
      </x:c>
      <x:c r="E94" s="9" t="str">
        <x:v>Отдых от бега. Оценить восстановление и реакцию колена; пропущенные километры не догонять.</x:v>
      </x:c>
      <x:c r="F94" s="9"/>
      <x:c r="G94" s="12"/>
      <x:c r="H94" s="13"/>
      <x:c r="I94" s="12"/>
      <x:c r="J94" s="12"/>
      <x:c r="K94" s="12"/>
      <x:c r="L94" s="12"/>
      <x:c r="M94" s="12"/>
      <x:c r="N94" s="12"/>
      <x:c r="O94" s="12"/>
      <x:c r="P94" s="12"/>
    </x:row>
    <x:row r="95" ht="44" customHeight="1">
      <x:c r="A95" s="10" t="d">
        <x:v>2027-01-03T00:00:00.000Z</x:v>
      </x:c>
      <x:c r="B95" s="9" t="str">
        <x:v>вс</x:v>
      </x:c>
      <x:c r="C95" s="9" t="n">
        <x:v>18</x:v>
      </x:c>
      <x:c r="D95" s="11" t="n">
        <x:v>24</x:v>
      </x:c>
      <x:c r="E95" s="9" t="str">
        <x:v>Длительная до 24 км на RPE 2–3. Использовать проверенное чередование бега и ходьбы; заранее подготовить воду питание и выход с маршрута.</x:v>
      </x:c>
      <x:c r="F95" s="9"/>
      <x:c r="G95" s="12"/>
      <x:c r="H95" s="13"/>
      <x:c r="I95" s="12"/>
      <x:c r="J95" s="12"/>
      <x:c r="K95" s="12"/>
      <x:c r="L95" s="12"/>
      <x:c r="M95" s="12"/>
      <x:c r="N95" s="12"/>
      <x:c r="O95" s="12"/>
      <x:c r="P95" s="12"/>
    </x:row>
    <x:row r="96" ht="44" customHeight="1">
      <x:c r="A96" s="10" t="d">
        <x:v>2027-01-04T00:00:00.000Z</x:v>
      </x:c>
      <x:c r="B96" s="9" t="str">
        <x:v>пн</x:v>
      </x:c>
      <x:c r="C96" s="9" t="n">
        <x:v>19</x:v>
      </x:c>
      <x:c r="D96" s="11" t="n">
        <x:v>5</x:v>
      </x:c>
      <x:c r="E96" s="9" t="str">
        <x:v>Лёгкий бег до 5 км на RPE 2–3. Сократить дистанцию при ограничениях дня или ухудшении состояния.</x:v>
      </x:c>
      <x:c r="F96" s="9"/>
      <x:c r="G96" s="12"/>
      <x:c r="H96" s="13"/>
      <x:c r="I96" s="12"/>
      <x:c r="J96" s="12"/>
      <x:c r="K96" s="12"/>
      <x:c r="L96" s="12"/>
      <x:c r="M96" s="12"/>
      <x:c r="N96" s="12"/>
      <x:c r="O96" s="12"/>
      <x:c r="P96" s="12"/>
    </x:row>
    <x:row r="97" ht="44" customHeight="1">
      <x:c r="A97" s="10" t="d">
        <x:v>2027-01-05T00:00:00.000Z</x:v>
      </x:c>
      <x:c r="B97" s="9" t="str">
        <x:v>вт</x:v>
      </x:c>
      <x:c r="C97" s="9" t="n">
        <x:v>19</x:v>
      </x:c>
      <x:c r="D97" s="11" t="n">
        <x:v>9</x:v>
      </x:c>
      <x:c r="E97" s="9" t="str">
        <x:v>Лёгкий бег до 9 км на RPE 2–3. Сократить дистанцию при ограничениях дня или ухудшении состояния.</x:v>
      </x:c>
      <x:c r="F97" s="9"/>
      <x:c r="G97" s="12"/>
      <x:c r="H97" s="13"/>
      <x:c r="I97" s="12"/>
      <x:c r="J97" s="12"/>
      <x:c r="K97" s="12"/>
      <x:c r="L97" s="12"/>
      <x:c r="M97" s="12"/>
      <x:c r="N97" s="12"/>
      <x:c r="O97" s="12"/>
      <x:c r="P97" s="12"/>
    </x:row>
    <x:row r="98" ht="44" customHeight="1">
      <x:c r="A98" s="10" t="d">
        <x:v>2027-01-06T00:00:00.000Z</x:v>
      </x:c>
      <x:c r="B98" s="9" t="str">
        <x:v>ср</x:v>
      </x:c>
      <x:c r="C98" s="9" t="n">
        <x:v>19</x:v>
      </x:c>
      <x:c r="D98" s="11" t="n">
        <x:v>5</x:v>
      </x:c>
      <x:c r="E98" s="9" t="str">
        <x:v>Лёгкий бег до 5 км на RPE 2–3. Сократить дистанцию при ограничениях дня или ухудшении состояния.</x:v>
      </x:c>
      <x:c r="F98" s="9" t="str">
        <x:v>S2: бэнд 2×10, короткая стопа 2×5×5с, баланс 2×30с, dead bug 2×8</x:v>
      </x:c>
      <x:c r="G98" s="12"/>
      <x:c r="H98" s="13"/>
      <x:c r="I98" s="12"/>
      <x:c r="J98" s="12"/>
      <x:c r="K98" s="12"/>
      <x:c r="L98" s="12"/>
      <x:c r="M98" s="12"/>
      <x:c r="N98" s="12"/>
      <x:c r="O98" s="12"/>
      <x:c r="P98" s="12"/>
    </x:row>
    <x:row r="99" ht="44" customHeight="1">
      <x:c r="A99" s="10" t="d">
        <x:v>2027-01-07T00:00:00.000Z</x:v>
      </x:c>
      <x:c r="B99" s="9" t="str">
        <x:v>чт</x:v>
      </x:c>
      <x:c r="C99" s="9" t="n">
        <x:v>19</x:v>
      </x:c>
      <x:c r="D99" s="11" t="n">
        <x:v>0</x:v>
      </x:c>
      <x:c r="E99" s="9" t="str">
        <x:v>Отдых от бега. Оценить восстановление и реакцию колена; пропущенные километры не догонять.</x:v>
      </x:c>
      <x:c r="F99" s="9" t="str">
        <x:v>S1: присед/сплит 2–3×8–12, мост 2–3×12–15, икры 2–3×12–20, тяга 2–3×10–15, боковая планка 2–3×20–40с</x:v>
      </x:c>
      <x:c r="G99" s="12"/>
      <x:c r="H99" s="13"/>
      <x:c r="I99" s="12"/>
      <x:c r="J99" s="12"/>
      <x:c r="K99" s="12"/>
      <x:c r="L99" s="12"/>
      <x:c r="M99" s="12"/>
      <x:c r="N99" s="12"/>
      <x:c r="O99" s="12"/>
      <x:c r="P99" s="12"/>
    </x:row>
    <x:row r="100" ht="44" customHeight="1">
      <x:c r="A100" s="10" t="d">
        <x:v>2027-01-08T00:00:00.000Z</x:v>
      </x:c>
      <x:c r="B100" s="9" t="str">
        <x:v>пт</x:v>
      </x:c>
      <x:c r="C100" s="9" t="n">
        <x:v>19</x:v>
      </x:c>
      <x:c r="D100" s="11" t="n">
        <x:v>9</x:v>
      </x:c>
      <x:c r="E100" s="9" t="str">
        <x:v>Лёгкий бег до 9 км на RPE 2–3. Сократить дистанцию при ограничениях дня или ухудшении состояния.</x:v>
      </x:c>
      <x:c r="F100" s="9"/>
      <x:c r="G100" s="12"/>
      <x:c r="H100" s="13"/>
      <x:c r="I100" s="12"/>
      <x:c r="J100" s="12"/>
      <x:c r="K100" s="12"/>
      <x:c r="L100" s="12"/>
      <x:c r="M100" s="12"/>
      <x:c r="N100" s="12"/>
      <x:c r="O100" s="12"/>
      <x:c r="P100" s="12"/>
    </x:row>
    <x:row r="101" ht="44" customHeight="1">
      <x:c r="A101" s="10" t="d">
        <x:v>2027-01-09T00:00:00.000Z</x:v>
      </x:c>
      <x:c r="B101" s="9" t="str">
        <x:v>сб</x:v>
      </x:c>
      <x:c r="C101" s="9" t="n">
        <x:v>19</x:v>
      </x:c>
      <x:c r="D101" s="11" t="n">
        <x:v>0</x:v>
      </x:c>
      <x:c r="E101" s="9" t="str">
        <x:v>Отдых от бега. Оценить восстановление и реакцию колена; пропущенные километры не догонять.</x:v>
      </x:c>
      <x:c r="F101" s="9"/>
      <x:c r="G101" s="12"/>
      <x:c r="H101" s="13"/>
      <x:c r="I101" s="12"/>
      <x:c r="J101" s="12"/>
      <x:c r="K101" s="12"/>
      <x:c r="L101" s="12"/>
      <x:c r="M101" s="12"/>
      <x:c r="N101" s="12"/>
      <x:c r="O101" s="12"/>
      <x:c r="P101" s="12"/>
    </x:row>
    <x:row r="102" ht="44" customHeight="1">
      <x:c r="A102" s="10" t="d">
        <x:v>2027-01-10T00:00:00.000Z</x:v>
      </x:c>
      <x:c r="B102" s="9" t="str">
        <x:v>вс</x:v>
      </x:c>
      <x:c r="C102" s="9" t="n">
        <x:v>19</x:v>
      </x:c>
      <x:c r="D102" s="11" t="n">
        <x:v>26</x:v>
      </x:c>
      <x:c r="E102" s="9" t="str">
        <x:v>Длительная до 26 км на RPE 2–3. Использовать проверенное чередование бега и ходьбы; заранее подготовить воду питание и выход с маршрута.</x:v>
      </x:c>
      <x:c r="F102" s="9"/>
      <x:c r="G102" s="12"/>
      <x:c r="H102" s="13"/>
      <x:c r="I102" s="12"/>
      <x:c r="J102" s="12"/>
      <x:c r="K102" s="12"/>
      <x:c r="L102" s="12"/>
      <x:c r="M102" s="12"/>
      <x:c r="N102" s="12"/>
      <x:c r="O102" s="12"/>
      <x:c r="P102" s="12"/>
    </x:row>
    <x:row r="103" ht="44" customHeight="1">
      <x:c r="A103" s="10" t="d">
        <x:v>2027-01-11T00:00:00.000Z</x:v>
      </x:c>
      <x:c r="B103" s="9" t="str">
        <x:v>пн</x:v>
      </x:c>
      <x:c r="C103" s="9" t="n">
        <x:v>20</x:v>
      </x:c>
      <x:c r="D103" s="11" t="n">
        <x:v>5</x:v>
      </x:c>
      <x:c r="E103" s="9" t="str">
        <x:v>Лёгкий бег до 5 км на RPE 2–3. Сократить дистанцию при ограничениях дня или ухудшении состояния.</x:v>
      </x:c>
      <x:c r="F103" s="9"/>
      <x:c r="G103" s="12"/>
      <x:c r="H103" s="13"/>
      <x:c r="I103" s="12"/>
      <x:c r="J103" s="12"/>
      <x:c r="K103" s="12"/>
      <x:c r="L103" s="12"/>
      <x:c r="M103" s="12"/>
      <x:c r="N103" s="12"/>
      <x:c r="O103" s="12"/>
      <x:c r="P103" s="12"/>
    </x:row>
    <x:row r="104" ht="44" customHeight="1">
      <x:c r="A104" s="10" t="d">
        <x:v>2027-01-12T00:00:00.000Z</x:v>
      </x:c>
      <x:c r="B104" s="9" t="str">
        <x:v>вт</x:v>
      </x:c>
      <x:c r="C104" s="9" t="n">
        <x:v>20</x:v>
      </x:c>
      <x:c r="D104" s="11" t="n">
        <x:v>9</x:v>
      </x:c>
      <x:c r="E104" s="9" t="str">
        <x:v>Лёгкий бег до 9 км на RPE 2–3. Сократить дистанцию при ограничениях дня или ухудшении состояния.</x:v>
      </x:c>
      <x:c r="F104" s="9"/>
      <x:c r="G104" s="12"/>
      <x:c r="H104" s="13"/>
      <x:c r="I104" s="12"/>
      <x:c r="J104" s="12"/>
      <x:c r="K104" s="12"/>
      <x:c r="L104" s="12"/>
      <x:c r="M104" s="12"/>
      <x:c r="N104" s="12"/>
      <x:c r="O104" s="12"/>
      <x:c r="P104" s="12"/>
    </x:row>
    <x:row r="105" ht="44" customHeight="1">
      <x:c r="A105" s="10" t="d">
        <x:v>2027-01-13T00:00:00.000Z</x:v>
      </x:c>
      <x:c r="B105" s="9" t="str">
        <x:v>ср</x:v>
      </x:c>
      <x:c r="C105" s="9" t="n">
        <x:v>20</x:v>
      </x:c>
      <x:c r="D105" s="11" t="n">
        <x:v>5</x:v>
      </x:c>
      <x:c r="E105" s="9" t="str">
        <x:v>Лёгкий бег до 5 км на RPE 2–3. Сократить дистанцию при ограничениях дня или ухудшении состояния.</x:v>
      </x:c>
      <x:c r="F105" s="9" t="str">
        <x:v>S2: бэнд 2×10, короткая стопа 2×5×5с, баланс 2×30с, dead bug 2×8</x:v>
      </x:c>
      <x:c r="G105" s="12"/>
      <x:c r="H105" s="13"/>
      <x:c r="I105" s="12"/>
      <x:c r="J105" s="12"/>
      <x:c r="K105" s="12"/>
      <x:c r="L105" s="12"/>
      <x:c r="M105" s="12"/>
      <x:c r="N105" s="12"/>
      <x:c r="O105" s="12"/>
      <x:c r="P105" s="12"/>
    </x:row>
    <x:row r="106" ht="44" customHeight="1">
      <x:c r="A106" s="10" t="d">
        <x:v>2027-01-14T00:00:00.000Z</x:v>
      </x:c>
      <x:c r="B106" s="9" t="str">
        <x:v>чт</x:v>
      </x:c>
      <x:c r="C106" s="9" t="n">
        <x:v>20</x:v>
      </x:c>
      <x:c r="D106" s="11" t="n">
        <x:v>0</x:v>
      </x:c>
      <x:c r="E106" s="9" t="str">
        <x:v>Отдых от бега. Оценить восстановление и реакцию колена; пропущенные километры не догонять.</x:v>
      </x:c>
      <x:c r="F106" s="9" t="str">
        <x:v>S1: присед/сплит 2–3×8–12, мост 2–3×12–15, икры 2–3×12–20, тяга 2–3×10–15, боковая планка 2–3×20–40с</x:v>
      </x:c>
      <x:c r="G106" s="12"/>
      <x:c r="H106" s="13"/>
      <x:c r="I106" s="12"/>
      <x:c r="J106" s="12"/>
      <x:c r="K106" s="12"/>
      <x:c r="L106" s="12"/>
      <x:c r="M106" s="12"/>
      <x:c r="N106" s="12"/>
      <x:c r="O106" s="12"/>
      <x:c r="P106" s="12"/>
    </x:row>
    <x:row r="107" ht="44" customHeight="1">
      <x:c r="A107" s="10" t="d">
        <x:v>2027-01-15T00:00:00.000Z</x:v>
      </x:c>
      <x:c r="B107" s="9" t="str">
        <x:v>пт</x:v>
      </x:c>
      <x:c r="C107" s="9" t="n">
        <x:v>20</x:v>
      </x:c>
      <x:c r="D107" s="11" t="n">
        <x:v>9</x:v>
      </x:c>
      <x:c r="E107" s="9" t="str">
        <x:v>Лёгкий бег до 9 км на RPE 2–3. Сократить дистанцию при ограничениях дня или ухудшении состояния.</x:v>
      </x:c>
      <x:c r="F107" s="9"/>
      <x:c r="G107" s="12"/>
      <x:c r="H107" s="13"/>
      <x:c r="I107" s="12"/>
      <x:c r="J107" s="12"/>
      <x:c r="K107" s="12"/>
      <x:c r="L107" s="12"/>
      <x:c r="M107" s="12"/>
      <x:c r="N107" s="12"/>
      <x:c r="O107" s="12"/>
      <x:c r="P107" s="12"/>
    </x:row>
    <x:row r="108" ht="44" customHeight="1">
      <x:c r="A108" s="10" t="d">
        <x:v>2027-01-16T00:00:00.000Z</x:v>
      </x:c>
      <x:c r="B108" s="9" t="str">
        <x:v>сб</x:v>
      </x:c>
      <x:c r="C108" s="9" t="n">
        <x:v>20</x:v>
      </x:c>
      <x:c r="D108" s="11" t="n">
        <x:v>0</x:v>
      </x:c>
      <x:c r="E108" s="9" t="str">
        <x:v>Отдых от бега. Оценить восстановление и реакцию колена; пропущенные километры не догонять.</x:v>
      </x:c>
      <x:c r="F108" s="9"/>
      <x:c r="G108" s="12"/>
      <x:c r="H108" s="13"/>
      <x:c r="I108" s="12"/>
      <x:c r="J108" s="12"/>
      <x:c r="K108" s="12"/>
      <x:c r="L108" s="12"/>
      <x:c r="M108" s="12"/>
      <x:c r="N108" s="12"/>
      <x:c r="O108" s="12"/>
      <x:c r="P108" s="12"/>
    </x:row>
    <x:row r="109" ht="44" customHeight="1">
      <x:c r="A109" s="10" t="d">
        <x:v>2027-01-17T00:00:00.000Z</x:v>
      </x:c>
      <x:c r="B109" s="9" t="str">
        <x:v>вс</x:v>
      </x:c>
      <x:c r="C109" s="9" t="n">
        <x:v>20</x:v>
      </x:c>
      <x:c r="D109" s="11" t="n">
        <x:v>28</x:v>
      </x:c>
      <x:c r="E109" s="9" t="str">
        <x:v>Длительная до 28 км на RPE 2–3. Использовать проверенное чередование бега и ходьбы; заранее подготовить воду питание и выход с маршрута.</x:v>
      </x:c>
      <x:c r="F109" s="9"/>
      <x:c r="G109" s="12"/>
      <x:c r="H109" s="13"/>
      <x:c r="I109" s="12"/>
      <x:c r="J109" s="12"/>
      <x:c r="K109" s="12"/>
      <x:c r="L109" s="12"/>
      <x:c r="M109" s="12"/>
      <x:c r="N109" s="12"/>
      <x:c r="O109" s="12"/>
      <x:c r="P109" s="12"/>
    </x:row>
    <x:row r="110" ht="44" customHeight="1">
      <x:c r="A110" s="10" t="d">
        <x:v>2027-01-18T00:00:00.000Z</x:v>
      </x:c>
      <x:c r="B110" s="9" t="str">
        <x:v>пн</x:v>
      </x:c>
      <x:c r="C110" s="9" t="n">
        <x:v>21</x:v>
      </x:c>
      <x:c r="D110" s="11" t="n">
        <x:v>4</x:v>
      </x:c>
      <x:c r="E110" s="9" t="str">
        <x:v>Лёгкий бег до 4 км на RPE 2–3. Сократить дистанцию при ограничениях дня или ухудшении состояния.</x:v>
      </x:c>
      <x:c r="F110" s="9"/>
      <x:c r="G110" s="12"/>
      <x:c r="H110" s="13"/>
      <x:c r="I110" s="12"/>
      <x:c r="J110" s="12"/>
      <x:c r="K110" s="12"/>
      <x:c r="L110" s="12"/>
      <x:c r="M110" s="12"/>
      <x:c r="N110" s="12"/>
      <x:c r="O110" s="12"/>
      <x:c r="P110" s="12"/>
    </x:row>
    <x:row r="111" ht="44" customHeight="1">
      <x:c r="A111" s="10" t="d">
        <x:v>2027-01-19T00:00:00.000Z</x:v>
      </x:c>
      <x:c r="B111" s="9" t="str">
        <x:v>вт</x:v>
      </x:c>
      <x:c r="C111" s="9" t="n">
        <x:v>21</x:v>
      </x:c>
      <x:c r="D111" s="11" t="n">
        <x:v>7</x:v>
      </x:c>
      <x:c r="E111" s="9" t="str">
        <x:v>Лёгкий бег до 7 км на RPE 2–3. Сократить дистанцию при ограничениях дня или ухудшении состояния.</x:v>
      </x:c>
      <x:c r="F111" s="9"/>
      <x:c r="G111" s="12"/>
      <x:c r="H111" s="13"/>
      <x:c r="I111" s="12"/>
      <x:c r="J111" s="12"/>
      <x:c r="K111" s="12"/>
      <x:c r="L111" s="12"/>
      <x:c r="M111" s="12"/>
      <x:c r="N111" s="12"/>
      <x:c r="O111" s="12"/>
      <x:c r="P111" s="12"/>
    </x:row>
    <x:row r="112" ht="44" customHeight="1">
      <x:c r="A112" s="10" t="d">
        <x:v>2027-01-20T00:00:00.000Z</x:v>
      </x:c>
      <x:c r="B112" s="9" t="str">
        <x:v>ср</x:v>
      </x:c>
      <x:c r="C112" s="9" t="n">
        <x:v>21</x:v>
      </x:c>
      <x:c r="D112" s="11" t="n">
        <x:v>4</x:v>
      </x:c>
      <x:c r="E112" s="9" t="str">
        <x:v>Лёгкий бег до 4 км на RPE 2–3. Сократить дистанцию при ограничениях дня или ухудшении состояния.</x:v>
      </x:c>
      <x:c r="F112" s="9" t="str">
        <x:v>S2: бэнд 2×10, короткая стопа 2×5×5с, баланс 2×30с, dead bug 2×8</x:v>
      </x:c>
      <x:c r="G112" s="12"/>
      <x:c r="H112" s="13"/>
      <x:c r="I112" s="12"/>
      <x:c r="J112" s="12"/>
      <x:c r="K112" s="12"/>
      <x:c r="L112" s="12"/>
      <x:c r="M112" s="12"/>
      <x:c r="N112" s="12"/>
      <x:c r="O112" s="12"/>
      <x:c r="P112" s="12"/>
    </x:row>
    <x:row r="113" ht="44" customHeight="1">
      <x:c r="A113" s="10" t="d">
        <x:v>2027-01-21T00:00:00.000Z</x:v>
      </x:c>
      <x:c r="B113" s="9" t="str">
        <x:v>чт</x:v>
      </x:c>
      <x:c r="C113" s="9" t="n">
        <x:v>21</x:v>
      </x:c>
      <x:c r="D113" s="11" t="n">
        <x:v>0</x:v>
      </x:c>
      <x:c r="E113" s="9" t="str">
        <x:v>Отдых от бега. Оценить восстановление и реакцию колена; пропущенные километры не догонять.</x:v>
      </x:c>
      <x:c r="F113" s="9" t="str">
        <x:v>S1: присед/сплит 2–3×8–12, мост 2–3×12–15, икры 2–3×12–20, тяга 2–3×10–15, боковая планка 2–3×20–40с</x:v>
      </x:c>
      <x:c r="G113" s="12"/>
      <x:c r="H113" s="13"/>
      <x:c r="I113" s="12"/>
      <x:c r="J113" s="12"/>
      <x:c r="K113" s="12"/>
      <x:c r="L113" s="12"/>
      <x:c r="M113" s="12"/>
      <x:c r="N113" s="12"/>
      <x:c r="O113" s="12"/>
      <x:c r="P113" s="12"/>
    </x:row>
    <x:row r="114" ht="44" customHeight="1">
      <x:c r="A114" s="10" t="d">
        <x:v>2027-01-22T00:00:00.000Z</x:v>
      </x:c>
      <x:c r="B114" s="9" t="str">
        <x:v>пт</x:v>
      </x:c>
      <x:c r="C114" s="9" t="n">
        <x:v>21</x:v>
      </x:c>
      <x:c r="D114" s="11" t="n">
        <x:v>7</x:v>
      </x:c>
      <x:c r="E114" s="9" t="str">
        <x:v>Лёгкий бег до 7 км на RPE 2–3. Сократить дистанцию при ограничениях дня или ухудшении состояния.</x:v>
      </x:c>
      <x:c r="F114" s="9"/>
      <x:c r="G114" s="12"/>
      <x:c r="H114" s="13"/>
      <x:c r="I114" s="12"/>
      <x:c r="J114" s="12"/>
      <x:c r="K114" s="12"/>
      <x:c r="L114" s="12"/>
      <x:c r="M114" s="12"/>
      <x:c r="N114" s="12"/>
      <x:c r="O114" s="12"/>
      <x:c r="P114" s="12"/>
    </x:row>
    <x:row r="115" ht="44" customHeight="1">
      <x:c r="A115" s="10" t="d">
        <x:v>2027-01-23T00:00:00.000Z</x:v>
      </x:c>
      <x:c r="B115" s="9" t="str">
        <x:v>сб</x:v>
      </x:c>
      <x:c r="C115" s="9" t="n">
        <x:v>21</x:v>
      </x:c>
      <x:c r="D115" s="11" t="n">
        <x:v>0</x:v>
      </x:c>
      <x:c r="E115" s="9" t="str">
        <x:v>Отдых от бега. Оценить восстановление и реакцию колена; пропущенные километры не догонять.</x:v>
      </x:c>
      <x:c r="F115" s="9"/>
      <x:c r="G115" s="12"/>
      <x:c r="H115" s="13"/>
      <x:c r="I115" s="12"/>
      <x:c r="J115" s="12"/>
      <x:c r="K115" s="12"/>
      <x:c r="L115" s="12"/>
      <x:c r="M115" s="12"/>
      <x:c r="N115" s="12"/>
      <x:c r="O115" s="12"/>
      <x:c r="P115" s="12"/>
    </x:row>
    <x:row r="116" ht="44" customHeight="1">
      <x:c r="A116" s="10" t="d">
        <x:v>2027-01-24T00:00:00.000Z</x:v>
      </x:c>
      <x:c r="B116" s="9" t="str">
        <x:v>вс</x:v>
      </x:c>
      <x:c r="C116" s="9" t="n">
        <x:v>21</x:v>
      </x:c>
      <x:c r="D116" s="11" t="n">
        <x:v>20</x:v>
      </x:c>
      <x:c r="E116" s="9" t="str">
        <x:v>Длительная до 20 км на RPE 2–3. Использовать проверенное чередование бега и ходьбы; заранее подготовить воду питание и выход с маршрута.</x:v>
      </x:c>
      <x:c r="F116" s="9"/>
      <x:c r="G116" s="12"/>
      <x:c r="H116" s="13"/>
      <x:c r="I116" s="12"/>
      <x:c r="J116" s="12"/>
      <x:c r="K116" s="12"/>
      <x:c r="L116" s="12"/>
      <x:c r="M116" s="12"/>
      <x:c r="N116" s="12"/>
      <x:c r="O116" s="12"/>
      <x:c r="P116" s="12"/>
    </x:row>
    <x:row r="117" ht="44" customHeight="1">
      <x:c r="A117" s="10" t="d">
        <x:v>2027-01-25T00:00:00.000Z</x:v>
      </x:c>
      <x:c r="B117" s="9" t="str">
        <x:v>пн</x:v>
      </x:c>
      <x:c r="C117" s="9" t="n">
        <x:v>22</x:v>
      </x:c>
      <x:c r="D117" s="11" t="n">
        <x:v>6</x:v>
      </x:c>
      <x:c r="E117" s="9" t="str">
        <x:v>Лёгкий бег до 6 км на RPE 2–3. Сократить дистанцию при ограничениях дня или ухудшении состояния.</x:v>
      </x:c>
      <x:c r="F117" s="9"/>
      <x:c r="G117" s="12"/>
      <x:c r="H117" s="13"/>
      <x:c r="I117" s="12"/>
      <x:c r="J117" s="12"/>
      <x:c r="K117" s="12"/>
      <x:c r="L117" s="12"/>
      <x:c r="M117" s="12"/>
      <x:c r="N117" s="12"/>
      <x:c r="O117" s="12"/>
      <x:c r="P117" s="12"/>
    </x:row>
    <x:row r="118" ht="44" customHeight="1">
      <x:c r="A118" s="10" t="d">
        <x:v>2027-01-26T00:00:00.000Z</x:v>
      </x:c>
      <x:c r="B118" s="9" t="str">
        <x:v>вт</x:v>
      </x:c>
      <x:c r="C118" s="9" t="n">
        <x:v>22</x:v>
      </x:c>
      <x:c r="D118" s="11" t="n">
        <x:v>9</x:v>
      </x:c>
      <x:c r="E118" s="9" t="str">
        <x:v>Лёгкий бег до 9 км на RPE 2–3. Сократить дистанцию при ограничениях дня или ухудшении состояния.</x:v>
      </x:c>
      <x:c r="F118" s="9"/>
      <x:c r="G118" s="12"/>
      <x:c r="H118" s="13"/>
      <x:c r="I118" s="12"/>
      <x:c r="J118" s="12"/>
      <x:c r="K118" s="12"/>
      <x:c r="L118" s="12"/>
      <x:c r="M118" s="12"/>
      <x:c r="N118" s="12"/>
      <x:c r="O118" s="12"/>
      <x:c r="P118" s="12"/>
    </x:row>
    <x:row r="119" ht="44" customHeight="1">
      <x:c r="A119" s="10" t="d">
        <x:v>2027-01-27T00:00:00.000Z</x:v>
      </x:c>
      <x:c r="B119" s="9" t="str">
        <x:v>ср</x:v>
      </x:c>
      <x:c r="C119" s="9" t="n">
        <x:v>22</x:v>
      </x:c>
      <x:c r="D119" s="11" t="n">
        <x:v>5</x:v>
      </x:c>
      <x:c r="E119" s="9" t="str">
        <x:v>Лёгкий бег до 5 км на RPE 2–3. Сократить дистанцию при ограничениях дня или ухудшении состояния.</x:v>
      </x:c>
      <x:c r="F119" s="9" t="str">
        <x:v>S2: бэнд 2×10, короткая стопа 2×5×5с, баланс 2×30с, dead bug 2×8</x:v>
      </x:c>
      <x:c r="G119" s="12"/>
      <x:c r="H119" s="13"/>
      <x:c r="I119" s="12"/>
      <x:c r="J119" s="12"/>
      <x:c r="K119" s="12"/>
      <x:c r="L119" s="12"/>
      <x:c r="M119" s="12"/>
      <x:c r="N119" s="12"/>
      <x:c r="O119" s="12"/>
      <x:c r="P119" s="12"/>
    </x:row>
    <x:row r="120" ht="44" customHeight="1">
      <x:c r="A120" s="10" t="d">
        <x:v>2027-01-28T00:00:00.000Z</x:v>
      </x:c>
      <x:c r="B120" s="9" t="str">
        <x:v>чт</x:v>
      </x:c>
      <x:c r="C120" s="9" t="n">
        <x:v>22</x:v>
      </x:c>
      <x:c r="D120" s="11" t="n">
        <x:v>0</x:v>
      </x:c>
      <x:c r="E120" s="9" t="str">
        <x:v>Отдых от бега. Оценить восстановление и реакцию колена; пропущенные километры не догонять.</x:v>
      </x:c>
      <x:c r="F120" s="9" t="str">
        <x:v>S1: присед/сплит 2–3×8–12, мост 2–3×12–15, икры 2–3×12–20, тяга 2–3×10–15, боковая планка 2–3×20–40с</x:v>
      </x:c>
      <x:c r="G120" s="12"/>
      <x:c r="H120" s="13"/>
      <x:c r="I120" s="12"/>
      <x:c r="J120" s="12"/>
      <x:c r="K120" s="12"/>
      <x:c r="L120" s="12"/>
      <x:c r="M120" s="12"/>
      <x:c r="N120" s="12"/>
      <x:c r="O120" s="12"/>
      <x:c r="P120" s="12"/>
    </x:row>
    <x:row r="121" ht="46" customHeight="1">
      <x:c r="A121" s="10" t="d">
        <x:v>2027-01-29T00:00:00.000Z</x:v>
      </x:c>
      <x:c r="B121" s="9" t="str">
        <x:v>пт</x:v>
      </x:c>
      <x:c r="C121" s="9" t="n">
        <x:v>22</x:v>
      </x:c>
      <x:c r="D121" s="11" t="n">
        <x:v>0</x:v>
      </x:c>
      <x:c r="E121" s="9" t="str">
        <x:v>Лёгкий доступный велосипед или другая безударная работа вместо бега на RPE 2–3. При усталости отдых. Не добавлять её поверх беговой задачи.</x:v>
      </x:c>
      <x:c r="F121" s="9"/>
      <x:c r="G121" s="12"/>
      <x:c r="H121" s="13"/>
      <x:c r="I121" s="12"/>
      <x:c r="J121" s="12"/>
      <x:c r="K121" s="12"/>
      <x:c r="L121" s="12"/>
      <x:c r="M121" s="12"/>
      <x:c r="N121" s="12"/>
      <x:c r="O121" s="12"/>
      <x:c r="P121" s="12"/>
    </x:row>
    <x:row r="122" ht="44" customHeight="1">
      <x:c r="A122" s="10" t="d">
        <x:v>2027-01-30T00:00:00.000Z</x:v>
      </x:c>
      <x:c r="B122" s="9" t="str">
        <x:v>сб</x:v>
      </x:c>
      <x:c r="C122" s="9" t="n">
        <x:v>22</x:v>
      </x:c>
      <x:c r="D122" s="11" t="n">
        <x:v>10</x:v>
      </x:c>
      <x:c r="E122" s="9" t="str">
        <x:v>Лёгкий бег до 10 км на RPE 2. Сохранить силы для воскресенья.</x:v>
      </x:c>
      <x:c r="F122" s="9"/>
      <x:c r="G122" s="12"/>
      <x:c r="H122" s="13"/>
      <x:c r="I122" s="12"/>
      <x:c r="J122" s="12"/>
      <x:c r="K122" s="12"/>
      <x:c r="L122" s="12"/>
      <x:c r="M122" s="12"/>
      <x:c r="N122" s="12"/>
      <x:c r="O122" s="12"/>
      <x:c r="P122" s="12"/>
    </x:row>
    <x:row r="123" ht="44" customHeight="1">
      <x:c r="A123" s="10" t="d">
        <x:v>2027-01-31T00:00:00.000Z</x:v>
      </x:c>
      <x:c r="B123" s="9" t="str">
        <x:v>вс</x:v>
      </x:c>
      <x:c r="C123" s="9" t="n">
        <x:v>22</x:v>
      </x:c>
      <x:c r="D123" s="11" t="n">
        <x:v>28</x:v>
      </x:c>
      <x:c r="E123" s="9" t="str">
        <x:v>Длительная до 28 км на RPE 2–3. Использовать проверенное чередование бега и ходьбы; заранее подготовить воду питание и выход с маршрута.</x:v>
      </x:c>
      <x:c r="F123" s="9"/>
      <x:c r="G123" s="12"/>
      <x:c r="H123" s="13"/>
      <x:c r="I123" s="12"/>
      <x:c r="J123" s="12"/>
      <x:c r="K123" s="12"/>
      <x:c r="L123" s="12"/>
      <x:c r="M123" s="12"/>
      <x:c r="N123" s="12"/>
      <x:c r="O123" s="12"/>
      <x:c r="P123" s="12"/>
    </x:row>
    <x:row r="124" ht="44" customHeight="1">
      <x:c r="A124" s="10" t="d">
        <x:v>2027-02-01T00:00:00.000Z</x:v>
      </x:c>
      <x:c r="B124" s="9" t="str">
        <x:v>пн</x:v>
      </x:c>
      <x:c r="C124" s="9" t="n">
        <x:v>23</x:v>
      </x:c>
      <x:c r="D124" s="11" t="n">
        <x:v>6</x:v>
      </x:c>
      <x:c r="E124" s="9" t="str">
        <x:v>Лёгкий бег до 6 км на RPE 2–3. Сократить дистанцию при ограничениях дня или ухудшении состояния.</x:v>
      </x:c>
      <x:c r="F124" s="9"/>
      <x:c r="G124" s="12"/>
      <x:c r="H124" s="13"/>
      <x:c r="I124" s="12"/>
      <x:c r="J124" s="12"/>
      <x:c r="K124" s="12"/>
      <x:c r="L124" s="12"/>
      <x:c r="M124" s="12"/>
      <x:c r="N124" s="12"/>
      <x:c r="O124" s="12"/>
      <x:c r="P124" s="12"/>
    </x:row>
    <x:row r="125" ht="44" customHeight="1">
      <x:c r="A125" s="10" t="d">
        <x:v>2027-02-02T00:00:00.000Z</x:v>
      </x:c>
      <x:c r="B125" s="9" t="str">
        <x:v>вт</x:v>
      </x:c>
      <x:c r="C125" s="9" t="n">
        <x:v>23</x:v>
      </x:c>
      <x:c r="D125" s="11" t="n">
        <x:v>9</x:v>
      </x:c>
      <x:c r="E125" s="9" t="str">
        <x:v>Лёгкий бег до 9 км на RPE 2–3. Сократить дистанцию при ограничениях дня или ухудшении состояния.</x:v>
      </x:c>
      <x:c r="F125" s="9"/>
      <x:c r="G125" s="12"/>
      <x:c r="H125" s="13"/>
      <x:c r="I125" s="12"/>
      <x:c r="J125" s="12"/>
      <x:c r="K125" s="12"/>
      <x:c r="L125" s="12"/>
      <x:c r="M125" s="12"/>
      <x:c r="N125" s="12"/>
      <x:c r="O125" s="12"/>
      <x:c r="P125" s="12"/>
    </x:row>
    <x:row r="126" ht="44" customHeight="1">
      <x:c r="A126" s="10" t="d">
        <x:v>2027-02-03T00:00:00.000Z</x:v>
      </x:c>
      <x:c r="B126" s="9" t="str">
        <x:v>ср</x:v>
      </x:c>
      <x:c r="C126" s="9" t="n">
        <x:v>23</x:v>
      </x:c>
      <x:c r="D126" s="11" t="n">
        <x:v>5</x:v>
      </x:c>
      <x:c r="E126" s="9" t="str">
        <x:v>Лёгкий бег до 5 км на RPE 2–3. Сократить дистанцию при ограничениях дня или ухудшении состояния.</x:v>
      </x:c>
      <x:c r="F126" s="9" t="str">
        <x:v>S2: бэнд 2×10, короткая стопа 2×5×5с, баланс 2×30с, dead bug 2×8</x:v>
      </x:c>
      <x:c r="G126" s="12"/>
      <x:c r="H126" s="13"/>
      <x:c r="I126" s="12"/>
      <x:c r="J126" s="12"/>
      <x:c r="K126" s="12"/>
      <x:c r="L126" s="12"/>
      <x:c r="M126" s="12"/>
      <x:c r="N126" s="12"/>
      <x:c r="O126" s="12"/>
      <x:c r="P126" s="12"/>
    </x:row>
    <x:row r="127" ht="44" customHeight="1">
      <x:c r="A127" s="10" t="d">
        <x:v>2027-02-04T00:00:00.000Z</x:v>
      </x:c>
      <x:c r="B127" s="9" t="str">
        <x:v>чт</x:v>
      </x:c>
      <x:c r="C127" s="9" t="n">
        <x:v>23</x:v>
      </x:c>
      <x:c r="D127" s="11" t="n">
        <x:v>0</x:v>
      </x:c>
      <x:c r="E127" s="9" t="str">
        <x:v>Отдых от бега. Оценить восстановление и реакцию колена; пропущенные километры не догонять.</x:v>
      </x:c>
      <x:c r="F127" s="9" t="str">
        <x:v>S1: присед/сплит 2–3×8–12, мост 2–3×12–15, икры 2–3×12–20, тяга 2–3×10–15, боковая планка 2–3×20–40с</x:v>
      </x:c>
      <x:c r="G127" s="12"/>
      <x:c r="H127" s="13"/>
      <x:c r="I127" s="12"/>
      <x:c r="J127" s="12"/>
      <x:c r="K127" s="12"/>
      <x:c r="L127" s="12"/>
      <x:c r="M127" s="12"/>
      <x:c r="N127" s="12"/>
      <x:c r="O127" s="12"/>
      <x:c r="P127" s="12"/>
    </x:row>
    <x:row r="128" ht="46" customHeight="1">
      <x:c r="A128" s="10" t="d">
        <x:v>2027-02-05T00:00:00.000Z</x:v>
      </x:c>
      <x:c r="B128" s="9" t="str">
        <x:v>пт</x:v>
      </x:c>
      <x:c r="C128" s="9" t="n">
        <x:v>23</x:v>
      </x:c>
      <x:c r="D128" s="11" t="n">
        <x:v>0</x:v>
      </x:c>
      <x:c r="E128" s="9" t="str">
        <x:v>Лёгкий доступный велосипед или другая безударная работа вместо бега на RPE 2–3. При усталости отдых. Не добавлять её поверх беговой задачи.</x:v>
      </x:c>
      <x:c r="F128" s="9"/>
      <x:c r="G128" s="12"/>
      <x:c r="H128" s="13"/>
      <x:c r="I128" s="12"/>
      <x:c r="J128" s="12"/>
      <x:c r="K128" s="12"/>
      <x:c r="L128" s="12"/>
      <x:c r="M128" s="12"/>
      <x:c r="N128" s="12"/>
      <x:c r="O128" s="12"/>
      <x:c r="P128" s="12"/>
    </x:row>
    <x:row r="129" ht="44" customHeight="1">
      <x:c r="A129" s="10" t="d">
        <x:v>2027-02-06T00:00:00.000Z</x:v>
      </x:c>
      <x:c r="B129" s="9" t="str">
        <x:v>сб</x:v>
      </x:c>
      <x:c r="C129" s="9" t="n">
        <x:v>23</x:v>
      </x:c>
      <x:c r="D129" s="11" t="n">
        <x:v>10</x:v>
      </x:c>
      <x:c r="E129" s="9" t="str">
        <x:v>Лёгкий бег до 10 км на RPE 2. Сохранить силы для воскресенья.</x:v>
      </x:c>
      <x:c r="F129" s="9"/>
      <x:c r="G129" s="12"/>
      <x:c r="H129" s="13"/>
      <x:c r="I129" s="12"/>
      <x:c r="J129" s="12"/>
      <x:c r="K129" s="12"/>
      <x:c r="L129" s="12"/>
      <x:c r="M129" s="12"/>
      <x:c r="N129" s="12"/>
      <x:c r="O129" s="12"/>
      <x:c r="P129" s="12"/>
    </x:row>
    <x:row r="130" ht="44" customHeight="1">
      <x:c r="A130" s="10" t="d">
        <x:v>2027-02-07T00:00:00.000Z</x:v>
      </x:c>
      <x:c r="B130" s="9" t="str">
        <x:v>вс</x:v>
      </x:c>
      <x:c r="C130" s="9" t="n">
        <x:v>23</x:v>
      </x:c>
      <x:c r="D130" s="11" t="n">
        <x:v>30</x:v>
      </x:c>
      <x:c r="E130" s="9" t="str">
        <x:v>Длительная до 30 км на RPE 2–3. Использовать проверенное чередование бега и ходьбы; заранее подготовить воду питание и выход с маршрута.</x:v>
      </x:c>
      <x:c r="F130" s="9"/>
      <x:c r="G130" s="12"/>
      <x:c r="H130" s="13"/>
      <x:c r="I130" s="12"/>
      <x:c r="J130" s="12"/>
      <x:c r="K130" s="12"/>
      <x:c r="L130" s="12"/>
      <x:c r="M130" s="12"/>
      <x:c r="N130" s="12"/>
      <x:c r="O130" s="12"/>
      <x:c r="P130" s="12"/>
    </x:row>
    <x:row r="131" ht="44" customHeight="1">
      <x:c r="A131" s="10" t="d">
        <x:v>2027-02-08T00:00:00.000Z</x:v>
      </x:c>
      <x:c r="B131" s="9" t="str">
        <x:v>пн</x:v>
      </x:c>
      <x:c r="C131" s="9" t="n">
        <x:v>24</x:v>
      </x:c>
      <x:c r="D131" s="11" t="n">
        <x:v>6</x:v>
      </x:c>
      <x:c r="E131" s="9" t="str">
        <x:v>Лёгкий бег до 6 км на RPE 2–3. Сократить дистанцию при ограничениях дня или ухудшении состояния.</x:v>
      </x:c>
      <x:c r="F131" s="9"/>
      <x:c r="G131" s="12"/>
      <x:c r="H131" s="13"/>
      <x:c r="I131" s="12"/>
      <x:c r="J131" s="12"/>
      <x:c r="K131" s="12"/>
      <x:c r="L131" s="12"/>
      <x:c r="M131" s="12"/>
      <x:c r="N131" s="12"/>
      <x:c r="O131" s="12"/>
      <x:c r="P131" s="12"/>
    </x:row>
    <x:row r="132" ht="44" customHeight="1">
      <x:c r="A132" s="10" t="d">
        <x:v>2027-02-09T00:00:00.000Z</x:v>
      </x:c>
      <x:c r="B132" s="9" t="str">
        <x:v>вт</x:v>
      </x:c>
      <x:c r="C132" s="9" t="n">
        <x:v>24</x:v>
      </x:c>
      <x:c r="D132" s="11" t="n">
        <x:v>9</x:v>
      </x:c>
      <x:c r="E132" s="9" t="str">
        <x:v>Лёгкий бег до 9 км на RPE 2–3. Сократить дистанцию при ограничениях дня или ухудшении состояния.</x:v>
      </x:c>
      <x:c r="F132" s="9"/>
      <x:c r="G132" s="12"/>
      <x:c r="H132" s="13"/>
      <x:c r="I132" s="12"/>
      <x:c r="J132" s="12"/>
      <x:c r="K132" s="12"/>
      <x:c r="L132" s="12"/>
      <x:c r="M132" s="12"/>
      <x:c r="N132" s="12"/>
      <x:c r="O132" s="12"/>
      <x:c r="P132" s="12"/>
    </x:row>
    <x:row r="133" ht="44" customHeight="1">
      <x:c r="A133" s="10" t="d">
        <x:v>2027-02-10T00:00:00.000Z</x:v>
      </x:c>
      <x:c r="B133" s="9" t="str">
        <x:v>ср</x:v>
      </x:c>
      <x:c r="C133" s="9" t="n">
        <x:v>24</x:v>
      </x:c>
      <x:c r="D133" s="11" t="n">
        <x:v>6</x:v>
      </x:c>
      <x:c r="E133" s="9" t="str">
        <x:v>Лёгкий бег до 6 км на RPE 2–3. Сократить дистанцию при ограничениях дня или ухудшении состояния.</x:v>
      </x:c>
      <x:c r="F133" s="9" t="str">
        <x:v>S2: бэнд 2×10, короткая стопа 2×5×5с, баланс 2×30с, dead bug 2×8</x:v>
      </x:c>
      <x:c r="G133" s="12"/>
      <x:c r="H133" s="13"/>
      <x:c r="I133" s="12"/>
      <x:c r="J133" s="12"/>
      <x:c r="K133" s="12"/>
      <x:c r="L133" s="12"/>
      <x:c r="M133" s="12"/>
      <x:c r="N133" s="12"/>
      <x:c r="O133" s="12"/>
      <x:c r="P133" s="12"/>
    </x:row>
    <x:row r="134" ht="44" customHeight="1">
      <x:c r="A134" s="10" t="d">
        <x:v>2027-02-11T00:00:00.000Z</x:v>
      </x:c>
      <x:c r="B134" s="9" t="str">
        <x:v>чт</x:v>
      </x:c>
      <x:c r="C134" s="9" t="n">
        <x:v>24</x:v>
      </x:c>
      <x:c r="D134" s="11" t="n">
        <x:v>0</x:v>
      </x:c>
      <x:c r="E134" s="9" t="str">
        <x:v>Отдых от бега. Оценить восстановление и реакцию колена; пропущенные километры не догонять.</x:v>
      </x:c>
      <x:c r="F134" s="9" t="str">
        <x:v>S1: присед/сплит 2–3×8–12, мост 2–3×12–15, икры 2–3×12–20, тяга 2–3×10–15, боковая планка 2–3×20–40с</x:v>
      </x:c>
      <x:c r="G134" s="12"/>
      <x:c r="H134" s="13"/>
      <x:c r="I134" s="12"/>
      <x:c r="J134" s="12"/>
      <x:c r="K134" s="12"/>
      <x:c r="L134" s="12"/>
      <x:c r="M134" s="12"/>
      <x:c r="N134" s="12"/>
      <x:c r="O134" s="12"/>
      <x:c r="P134" s="12"/>
    </x:row>
    <x:row r="135" ht="46" customHeight="1">
      <x:c r="A135" s="10" t="d">
        <x:v>2027-02-12T00:00:00.000Z</x:v>
      </x:c>
      <x:c r="B135" s="9" t="str">
        <x:v>пт</x:v>
      </x:c>
      <x:c r="C135" s="9" t="n">
        <x:v>24</x:v>
      </x:c>
      <x:c r="D135" s="11" t="n">
        <x:v>0</x:v>
      </x:c>
      <x:c r="E135" s="9" t="str">
        <x:v>Лёгкий доступный велосипед или другая безударная работа вместо бега на RPE 2–3. При усталости отдых. Не добавлять её поверх беговой задачи.</x:v>
      </x:c>
      <x:c r="F135" s="9"/>
      <x:c r="G135" s="12"/>
      <x:c r="H135" s="13"/>
      <x:c r="I135" s="12"/>
      <x:c r="J135" s="12"/>
      <x:c r="K135" s="12"/>
      <x:c r="L135" s="12"/>
      <x:c r="M135" s="12"/>
      <x:c r="N135" s="12"/>
      <x:c r="O135" s="12"/>
      <x:c r="P135" s="12"/>
    </x:row>
    <x:row r="136" ht="44" customHeight="1">
      <x:c r="A136" s="10" t="d">
        <x:v>2027-02-13T00:00:00.000Z</x:v>
      </x:c>
      <x:c r="B136" s="9" t="str">
        <x:v>сб</x:v>
      </x:c>
      <x:c r="C136" s="9" t="n">
        <x:v>24</x:v>
      </x:c>
      <x:c r="D136" s="11" t="n">
        <x:v>11</x:v>
      </x:c>
      <x:c r="E136" s="9" t="str">
        <x:v>Лёгкий бег до 11 км на RPE 2. Сохранить силы для воскресенья.</x:v>
      </x:c>
      <x:c r="F136" s="9"/>
      <x:c r="G136" s="12"/>
      <x:c r="H136" s="13"/>
      <x:c r="I136" s="12"/>
      <x:c r="J136" s="12"/>
      <x:c r="K136" s="12"/>
      <x:c r="L136" s="12"/>
      <x:c r="M136" s="12"/>
      <x:c r="N136" s="12"/>
      <x:c r="O136" s="12"/>
      <x:c r="P136" s="12"/>
    </x:row>
    <x:row r="137" ht="44" customHeight="1">
      <x:c r="A137" s="10" t="d">
        <x:v>2027-02-14T00:00:00.000Z</x:v>
      </x:c>
      <x:c r="B137" s="9" t="str">
        <x:v>вс</x:v>
      </x:c>
      <x:c r="C137" s="9" t="n">
        <x:v>24</x:v>
      </x:c>
      <x:c r="D137" s="11" t="n">
        <x:v>30</x:v>
      </x:c>
      <x:c r="E137" s="9" t="str">
        <x:v>Длительная до 30 км на RPE 2–3. Использовать проверенное чередование бега и ходьбы; заранее подготовить воду питание и выход с маршрута.</x:v>
      </x:c>
      <x:c r="F137" s="9"/>
      <x:c r="G137" s="12"/>
      <x:c r="H137" s="13"/>
      <x:c r="I137" s="12"/>
      <x:c r="J137" s="12"/>
      <x:c r="K137" s="12"/>
      <x:c r="L137" s="12"/>
      <x:c r="M137" s="12"/>
      <x:c r="N137" s="12"/>
      <x:c r="O137" s="12"/>
      <x:c r="P137" s="12"/>
    </x:row>
    <x:row r="138" ht="44" customHeight="1">
      <x:c r="A138" s="10" t="d">
        <x:v>2027-02-15T00:00:00.000Z</x:v>
      </x:c>
      <x:c r="B138" s="9" t="str">
        <x:v>пн</x:v>
      </x:c>
      <x:c r="C138" s="9" t="n">
        <x:v>25</x:v>
      </x:c>
      <x:c r="D138" s="11" t="n">
        <x:v>5</x:v>
      </x:c>
      <x:c r="E138" s="9" t="str">
        <x:v>Лёгкий бег до 5 км на RPE 2–3. Сократить дистанцию при ограничениях дня или ухудшении состояния.</x:v>
      </x:c>
      <x:c r="F138" s="9"/>
      <x:c r="G138" s="12"/>
      <x:c r="H138" s="13"/>
      <x:c r="I138" s="12"/>
      <x:c r="J138" s="12"/>
      <x:c r="K138" s="12"/>
      <x:c r="L138" s="12"/>
      <x:c r="M138" s="12"/>
      <x:c r="N138" s="12"/>
      <x:c r="O138" s="12"/>
      <x:c r="P138" s="12"/>
    </x:row>
    <x:row r="139" ht="44" customHeight="1">
      <x:c r="A139" s="10" t="d">
        <x:v>2027-02-16T00:00:00.000Z</x:v>
      </x:c>
      <x:c r="B139" s="9" t="str">
        <x:v>вт</x:v>
      </x:c>
      <x:c r="C139" s="9" t="n">
        <x:v>25</x:v>
      </x:c>
      <x:c r="D139" s="11" t="n">
        <x:v>7</x:v>
      </x:c>
      <x:c r="E139" s="9" t="str">
        <x:v>Лёгкий бег до 7 км на RPE 2–3. Сократить дистанцию при ограничениях дня или ухудшении состояния.</x:v>
      </x:c>
      <x:c r="F139" s="9"/>
      <x:c r="G139" s="12"/>
      <x:c r="H139" s="13"/>
      <x:c r="I139" s="12"/>
      <x:c r="J139" s="12"/>
      <x:c r="K139" s="12"/>
      <x:c r="L139" s="12"/>
      <x:c r="M139" s="12"/>
      <x:c r="N139" s="12"/>
      <x:c r="O139" s="12"/>
      <x:c r="P139" s="12"/>
    </x:row>
    <x:row r="140" ht="44" customHeight="1">
      <x:c r="A140" s="10" t="d">
        <x:v>2027-02-17T00:00:00.000Z</x:v>
      </x:c>
      <x:c r="B140" s="9" t="str">
        <x:v>ср</x:v>
      </x:c>
      <x:c r="C140" s="9" t="n">
        <x:v>25</x:v>
      </x:c>
      <x:c r="D140" s="11" t="n">
        <x:v>4</x:v>
      </x:c>
      <x:c r="E140" s="9" t="str">
        <x:v>Лёгкий бег до 4 км на RPE 2–3. Сократить дистанцию при ограничениях дня или ухудшении состояния.</x:v>
      </x:c>
      <x:c r="F140" s="9" t="str">
        <x:v>S2: бэнд 2×10, короткая стопа 2×5×5с, баланс 2×30с, dead bug 2×8</x:v>
      </x:c>
      <x:c r="G140" s="12"/>
      <x:c r="H140" s="13"/>
      <x:c r="I140" s="12"/>
      <x:c r="J140" s="12"/>
      <x:c r="K140" s="12"/>
      <x:c r="L140" s="12"/>
      <x:c r="M140" s="12"/>
      <x:c r="N140" s="12"/>
      <x:c r="O140" s="12"/>
      <x:c r="P140" s="12"/>
    </x:row>
    <x:row r="141" ht="44" customHeight="1">
      <x:c r="A141" s="10" t="d">
        <x:v>2027-02-18T00:00:00.000Z</x:v>
      </x:c>
      <x:c r="B141" s="9" t="str">
        <x:v>чт</x:v>
      </x:c>
      <x:c r="C141" s="9" t="n">
        <x:v>25</x:v>
      </x:c>
      <x:c r="D141" s="11" t="n">
        <x:v>0</x:v>
      </x:c>
      <x:c r="E141" s="9" t="str">
        <x:v>Отдых от бега. Оценить восстановление и реакцию колена; пропущенные километры не догонять.</x:v>
      </x:c>
      <x:c r="F141" s="9" t="str">
        <x:v>S1: присед/сплит 2–3×8–12, мост 2–3×12–15, икры 2–3×12–20, тяга 2–3×10–15, боковая планка 2–3×20–40с</x:v>
      </x:c>
      <x:c r="G141" s="12"/>
      <x:c r="H141" s="13"/>
      <x:c r="I141" s="12"/>
      <x:c r="J141" s="12"/>
      <x:c r="K141" s="12"/>
      <x:c r="L141" s="12"/>
      <x:c r="M141" s="12"/>
      <x:c r="N141" s="12"/>
      <x:c r="O141" s="12"/>
      <x:c r="P141" s="12"/>
    </x:row>
    <x:row r="142" ht="46" customHeight="1">
      <x:c r="A142" s="10" t="d">
        <x:v>2027-02-19T00:00:00.000Z</x:v>
      </x:c>
      <x:c r="B142" s="9" t="str">
        <x:v>пт</x:v>
      </x:c>
      <x:c r="C142" s="9" t="n">
        <x:v>25</x:v>
      </x:c>
      <x:c r="D142" s="11" t="n">
        <x:v>0</x:v>
      </x:c>
      <x:c r="E142" s="9" t="str">
        <x:v>Лёгкий доступный велосипед или другая безударная работа вместо бега на RPE 2–3. При усталости отдых. Не добавлять её поверх беговой задачи.</x:v>
      </x:c>
      <x:c r="F142" s="9"/>
      <x:c r="G142" s="12"/>
      <x:c r="H142" s="13"/>
      <x:c r="I142" s="12"/>
      <x:c r="J142" s="12"/>
      <x:c r="K142" s="12"/>
      <x:c r="L142" s="12"/>
      <x:c r="M142" s="12"/>
      <x:c r="N142" s="12"/>
      <x:c r="O142" s="12"/>
      <x:c r="P142" s="12"/>
    </x:row>
    <x:row r="143" ht="44" customHeight="1">
      <x:c r="A143" s="10" t="d">
        <x:v>2027-02-20T00:00:00.000Z</x:v>
      </x:c>
      <x:c r="B143" s="9" t="str">
        <x:v>сб</x:v>
      </x:c>
      <x:c r="C143" s="9" t="n">
        <x:v>25</x:v>
      </x:c>
      <x:c r="D143" s="11" t="n">
        <x:v>8</x:v>
      </x:c>
      <x:c r="E143" s="9" t="str">
        <x:v>Лёгкий бег до 8 км на RPE 2. Сохранить силы для воскресенья.</x:v>
      </x:c>
      <x:c r="F143" s="9"/>
      <x:c r="G143" s="12"/>
      <x:c r="H143" s="13"/>
      <x:c r="I143" s="12"/>
      <x:c r="J143" s="12"/>
      <x:c r="K143" s="12"/>
      <x:c r="L143" s="12"/>
      <x:c r="M143" s="12"/>
      <x:c r="N143" s="12"/>
      <x:c r="O143" s="12"/>
      <x:c r="P143" s="12"/>
    </x:row>
    <x:row r="144" ht="44" customHeight="1">
      <x:c r="A144" s="10" t="d">
        <x:v>2027-02-21T00:00:00.000Z</x:v>
      </x:c>
      <x:c r="B144" s="9" t="str">
        <x:v>вс</x:v>
      </x:c>
      <x:c r="C144" s="9" t="n">
        <x:v>25</x:v>
      </x:c>
      <x:c r="D144" s="11" t="n">
        <x:v>22</x:v>
      </x:c>
      <x:c r="E144" s="9" t="str">
        <x:v>Длительная до 22 км на RPE 2–3. Использовать проверенное чередование бега и ходьбы; заранее подготовить воду питание и выход с маршрута.</x:v>
      </x:c>
      <x:c r="F144" s="9"/>
      <x:c r="G144" s="12"/>
      <x:c r="H144" s="13"/>
      <x:c r="I144" s="12"/>
      <x:c r="J144" s="12"/>
      <x:c r="K144" s="12"/>
      <x:c r="L144" s="12"/>
      <x:c r="M144" s="12"/>
      <x:c r="N144" s="12"/>
      <x:c r="O144" s="12"/>
      <x:c r="P144" s="12"/>
    </x:row>
    <x:row r="145" ht="44" customHeight="1">
      <x:c r="A145" s="10" t="d">
        <x:v>2027-02-22T00:00:00.000Z</x:v>
      </x:c>
      <x:c r="B145" s="9" t="str">
        <x:v>пн</x:v>
      </x:c>
      <x:c r="C145" s="9" t="n">
        <x:v>26</x:v>
      </x:c>
      <x:c r="D145" s="11" t="n">
        <x:v>6</x:v>
      </x:c>
      <x:c r="E145" s="9" t="str">
        <x:v>Лёгкий бег до 6 км на RPE 2–3. Сократить дистанцию при ограничениях дня или ухудшении состояния.</x:v>
      </x:c>
      <x:c r="F145" s="9"/>
      <x:c r="G145" s="12"/>
      <x:c r="H145" s="13"/>
      <x:c r="I145" s="12"/>
      <x:c r="J145" s="12"/>
      <x:c r="K145" s="12"/>
      <x:c r="L145" s="12"/>
      <x:c r="M145" s="12"/>
      <x:c r="N145" s="12"/>
      <x:c r="O145" s="12"/>
      <x:c r="P145" s="12"/>
    </x:row>
    <x:row r="146" ht="44" customHeight="1">
      <x:c r="A146" s="10" t="d">
        <x:v>2027-02-23T00:00:00.000Z</x:v>
      </x:c>
      <x:c r="B146" s="9" t="str">
        <x:v>вт</x:v>
      </x:c>
      <x:c r="C146" s="9" t="n">
        <x:v>26</x:v>
      </x:c>
      <x:c r="D146" s="11" t="n">
        <x:v>9</x:v>
      </x:c>
      <x:c r="E146" s="9" t="str">
        <x:v>Лёгкий бег до 9 км на RPE 2–3. Сократить дистанцию при ограничениях дня или ухудшении состояния.</x:v>
      </x:c>
      <x:c r="F146" s="9"/>
      <x:c r="G146" s="12"/>
      <x:c r="H146" s="13"/>
      <x:c r="I146" s="12"/>
      <x:c r="J146" s="12"/>
      <x:c r="K146" s="12"/>
      <x:c r="L146" s="12"/>
      <x:c r="M146" s="12"/>
      <x:c r="N146" s="12"/>
      <x:c r="O146" s="12"/>
      <x:c r="P146" s="12"/>
    </x:row>
    <x:row r="147" ht="44" customHeight="1">
      <x:c r="A147" s="10" t="d">
        <x:v>2027-02-24T00:00:00.000Z</x:v>
      </x:c>
      <x:c r="B147" s="9" t="str">
        <x:v>ср</x:v>
      </x:c>
      <x:c r="C147" s="9" t="n">
        <x:v>26</x:v>
      </x:c>
      <x:c r="D147" s="11" t="n">
        <x:v>6</x:v>
      </x:c>
      <x:c r="E147" s="9" t="str">
        <x:v>Лёгкий бег до 6 км на RPE 2–3. Сократить дистанцию при ограничениях дня или ухудшении состояния.</x:v>
      </x:c>
      <x:c r="F147" s="9" t="str">
        <x:v>S2: бэнд 2×10, короткая стопа 2×5×5с, баланс 2×30с, dead bug 2×8</x:v>
      </x:c>
      <x:c r="G147" s="12"/>
      <x:c r="H147" s="13"/>
      <x:c r="I147" s="12"/>
      <x:c r="J147" s="12"/>
      <x:c r="K147" s="12"/>
      <x:c r="L147" s="12"/>
      <x:c r="M147" s="12"/>
      <x:c r="N147" s="12"/>
      <x:c r="O147" s="12"/>
      <x:c r="P147" s="12"/>
    </x:row>
    <x:row r="148" ht="44" customHeight="1">
      <x:c r="A148" s="10" t="d">
        <x:v>2027-02-25T00:00:00.000Z</x:v>
      </x:c>
      <x:c r="B148" s="9" t="str">
        <x:v>чт</x:v>
      </x:c>
      <x:c r="C148" s="9" t="n">
        <x:v>26</x:v>
      </x:c>
      <x:c r="D148" s="11" t="n">
        <x:v>0</x:v>
      </x:c>
      <x:c r="E148" s="9" t="str">
        <x:v>Отдых от бега. Оценить восстановление и реакцию колена; пропущенные километры не догонять.</x:v>
      </x:c>
      <x:c r="F148" s="9" t="str">
        <x:v>S1: присед/сплит 2–3×8–12, мост 2–3×12–15, икры 2–3×12–20, тяга 2–3×10–15, боковая планка 2–3×20–40с</x:v>
      </x:c>
      <x:c r="G148" s="12"/>
      <x:c r="H148" s="13"/>
      <x:c r="I148" s="12"/>
      <x:c r="J148" s="12"/>
      <x:c r="K148" s="12"/>
      <x:c r="L148" s="12"/>
      <x:c r="M148" s="12"/>
      <x:c r="N148" s="12"/>
      <x:c r="O148" s="12"/>
      <x:c r="P148" s="12"/>
    </x:row>
    <x:row r="149" ht="46" customHeight="1">
      <x:c r="A149" s="10" t="d">
        <x:v>2027-02-26T00:00:00.000Z</x:v>
      </x:c>
      <x:c r="B149" s="9" t="str">
        <x:v>пт</x:v>
      </x:c>
      <x:c r="C149" s="9" t="n">
        <x:v>26</x:v>
      </x:c>
      <x:c r="D149" s="11" t="n">
        <x:v>0</x:v>
      </x:c>
      <x:c r="E149" s="9" t="str">
        <x:v>Лёгкий доступный велосипед или другая безударная работа вместо бега на RPE 2–3. При усталости отдых. Не добавлять её поверх беговой задачи.</x:v>
      </x:c>
      <x:c r="F149" s="9"/>
      <x:c r="G149" s="12"/>
      <x:c r="H149" s="13"/>
      <x:c r="I149" s="12"/>
      <x:c r="J149" s="12"/>
      <x:c r="K149" s="12"/>
      <x:c r="L149" s="12"/>
      <x:c r="M149" s="12"/>
      <x:c r="N149" s="12"/>
      <x:c r="O149" s="12"/>
      <x:c r="P149" s="12"/>
    </x:row>
    <x:row r="150" ht="44" customHeight="1">
      <x:c r="A150" s="10" t="d">
        <x:v>2027-02-27T00:00:00.000Z</x:v>
      </x:c>
      <x:c r="B150" s="9" t="str">
        <x:v>сб</x:v>
      </x:c>
      <x:c r="C150" s="9" t="n">
        <x:v>26</x:v>
      </x:c>
      <x:c r="D150" s="11" t="n">
        <x:v>11</x:v>
      </x:c>
      <x:c r="E150" s="9" t="str">
        <x:v>Лёгкий бег до 11 км на RPE 2. Сохранить силы для воскресенья.</x:v>
      </x:c>
      <x:c r="F150" s="9"/>
      <x:c r="G150" s="12"/>
      <x:c r="H150" s="13"/>
      <x:c r="I150" s="12"/>
      <x:c r="J150" s="12"/>
      <x:c r="K150" s="12"/>
      <x:c r="L150" s="12"/>
      <x:c r="M150" s="12"/>
      <x:c r="N150" s="12"/>
      <x:c r="O150" s="12"/>
      <x:c r="P150" s="12"/>
    </x:row>
    <x:row r="151" ht="44" customHeight="1">
      <x:c r="A151" s="10" t="d">
        <x:v>2027-02-28T00:00:00.000Z</x:v>
      </x:c>
      <x:c r="B151" s="9" t="str">
        <x:v>вс</x:v>
      </x:c>
      <x:c r="C151" s="9" t="n">
        <x:v>26</x:v>
      </x:c>
      <x:c r="D151" s="11" t="n">
        <x:v>32</x:v>
      </x:c>
      <x:c r="E151" s="9" t="str">
        <x:v>Длительная до 32 км на RPE 2–3. Использовать проверенное чередование бега и ходьбы; заранее подготовить воду питание и выход с маршрута.</x:v>
      </x:c>
      <x:c r="F151" s="9"/>
      <x:c r="G151" s="12"/>
      <x:c r="H151" s="13"/>
      <x:c r="I151" s="12"/>
      <x:c r="J151" s="12"/>
      <x:c r="K151" s="12"/>
      <x:c r="L151" s="12"/>
      <x:c r="M151" s="12"/>
      <x:c r="N151" s="12"/>
      <x:c r="O151" s="12"/>
      <x:c r="P151" s="12"/>
    </x:row>
    <x:row r="152" ht="44" customHeight="1">
      <x:c r="A152" s="10" t="d">
        <x:v>2027-03-01T00:00:00.000Z</x:v>
      </x:c>
      <x:c r="B152" s="9" t="str">
        <x:v>пн</x:v>
      </x:c>
      <x:c r="C152" s="9" t="n">
        <x:v>27</x:v>
      </x:c>
      <x:c r="D152" s="11" t="n">
        <x:v>6</x:v>
      </x:c>
      <x:c r="E152" s="9" t="str">
        <x:v>Лёгкий бег до 6 км на RPE 2–3. Сократить дистанцию при ограничениях дня или ухудшении состояния.</x:v>
      </x:c>
      <x:c r="F152" s="9"/>
      <x:c r="G152" s="12"/>
      <x:c r="H152" s="13"/>
      <x:c r="I152" s="12"/>
      <x:c r="J152" s="12"/>
      <x:c r="K152" s="12"/>
      <x:c r="L152" s="12"/>
      <x:c r="M152" s="12"/>
      <x:c r="N152" s="12"/>
      <x:c r="O152" s="12"/>
      <x:c r="P152" s="12"/>
    </x:row>
    <x:row r="153" ht="44" customHeight="1">
      <x:c r="A153" s="10" t="d">
        <x:v>2027-03-02T00:00:00.000Z</x:v>
      </x:c>
      <x:c r="B153" s="9" t="str">
        <x:v>вт</x:v>
      </x:c>
      <x:c r="C153" s="9" t="n">
        <x:v>27</x:v>
      </x:c>
      <x:c r="D153" s="11" t="n">
        <x:v>9</x:v>
      </x:c>
      <x:c r="E153" s="9" t="str">
        <x:v>Лёгкий бег до 9 км на RPE 2–3. Сократить дистанцию при ограничениях дня или ухудшении состояния.</x:v>
      </x:c>
      <x:c r="F153" s="9"/>
      <x:c r="G153" s="12"/>
      <x:c r="H153" s="13"/>
      <x:c r="I153" s="12"/>
      <x:c r="J153" s="12"/>
      <x:c r="K153" s="12"/>
      <x:c r="L153" s="12"/>
      <x:c r="M153" s="12"/>
      <x:c r="N153" s="12"/>
      <x:c r="O153" s="12"/>
      <x:c r="P153" s="12"/>
    </x:row>
    <x:row r="154" ht="44" customHeight="1">
      <x:c r="A154" s="10" t="d">
        <x:v>2027-03-03T00:00:00.000Z</x:v>
      </x:c>
      <x:c r="B154" s="9" t="str">
        <x:v>ср</x:v>
      </x:c>
      <x:c r="C154" s="9" t="n">
        <x:v>27</x:v>
      </x:c>
      <x:c r="D154" s="11" t="n">
        <x:v>6</x:v>
      </x:c>
      <x:c r="E154" s="9" t="str">
        <x:v>Лёгкий бег до 6 км на RPE 2–3. Сократить дистанцию при ограничениях дня или ухудшении состояния.</x:v>
      </x:c>
      <x:c r="F154" s="9" t="str">
        <x:v>S2: бэнд 2×10, короткая стопа 2×5×5с, баланс 2×30с, dead bug 2×8</x:v>
      </x:c>
      <x:c r="G154" s="12"/>
      <x:c r="H154" s="13"/>
      <x:c r="I154" s="12"/>
      <x:c r="J154" s="12"/>
      <x:c r="K154" s="12"/>
      <x:c r="L154" s="12"/>
      <x:c r="M154" s="12"/>
      <x:c r="N154" s="12"/>
      <x:c r="O154" s="12"/>
      <x:c r="P154" s="12"/>
    </x:row>
    <x:row r="155" ht="44" customHeight="1">
      <x:c r="A155" s="10" t="d">
        <x:v>2027-03-04T00:00:00.000Z</x:v>
      </x:c>
      <x:c r="B155" s="9" t="str">
        <x:v>чт</x:v>
      </x:c>
      <x:c r="C155" s="9" t="n">
        <x:v>27</x:v>
      </x:c>
      <x:c r="D155" s="11" t="n">
        <x:v>0</x:v>
      </x:c>
      <x:c r="E155" s="9" t="str">
        <x:v>Отдых от бега. Оценить восстановление и реакцию колена; пропущенные километры не догонять.</x:v>
      </x:c>
      <x:c r="F155" s="9" t="str">
        <x:v>S1: присед/сплит 2–3×8–12, мост 2–3×12–15, икры 2–3×12–20, тяга 2–3×10–15, боковая планка 2–3×20–40с</x:v>
      </x:c>
      <x:c r="G155" s="12"/>
      <x:c r="H155" s="13"/>
      <x:c r="I155" s="12"/>
      <x:c r="J155" s="12"/>
      <x:c r="K155" s="12"/>
      <x:c r="L155" s="12"/>
      <x:c r="M155" s="12"/>
      <x:c r="N155" s="12"/>
      <x:c r="O155" s="12"/>
      <x:c r="P155" s="12"/>
    </x:row>
    <x:row r="156" ht="46" customHeight="1">
      <x:c r="A156" s="10" t="d">
        <x:v>2027-03-05T00:00:00.000Z</x:v>
      </x:c>
      <x:c r="B156" s="9" t="str">
        <x:v>пт</x:v>
      </x:c>
      <x:c r="C156" s="9" t="n">
        <x:v>27</x:v>
      </x:c>
      <x:c r="D156" s="11" t="n">
        <x:v>0</x:v>
      </x:c>
      <x:c r="E156" s="9" t="str">
        <x:v>Лёгкий доступный велосипед или другая безударная работа вместо бега на RPE 2–3. При усталости отдых. Не добавлять её поверх беговой задачи.</x:v>
      </x:c>
      <x:c r="F156" s="9"/>
      <x:c r="G156" s="12"/>
      <x:c r="H156" s="13"/>
      <x:c r="I156" s="12"/>
      <x:c r="J156" s="12"/>
      <x:c r="K156" s="12"/>
      <x:c r="L156" s="12"/>
      <x:c r="M156" s="12"/>
      <x:c r="N156" s="12"/>
      <x:c r="O156" s="12"/>
      <x:c r="P156" s="12"/>
    </x:row>
    <x:row r="157" ht="44" customHeight="1">
      <x:c r="A157" s="10" t="d">
        <x:v>2027-03-06T00:00:00.000Z</x:v>
      </x:c>
      <x:c r="B157" s="9" t="str">
        <x:v>сб</x:v>
      </x:c>
      <x:c r="C157" s="9" t="n">
        <x:v>27</x:v>
      </x:c>
      <x:c r="D157" s="11" t="n">
        <x:v>11</x:v>
      </x:c>
      <x:c r="E157" s="9" t="str">
        <x:v>Лёгкий бег до 11 км на RPE 2. Сохранить силы для воскресенья.</x:v>
      </x:c>
      <x:c r="F157" s="9"/>
      <x:c r="G157" s="12"/>
      <x:c r="H157" s="13"/>
      <x:c r="I157" s="12"/>
      <x:c r="J157" s="12"/>
      <x:c r="K157" s="12"/>
      <x:c r="L157" s="12"/>
      <x:c r="M157" s="12"/>
      <x:c r="N157" s="12"/>
      <x:c r="O157" s="12"/>
      <x:c r="P157" s="12"/>
    </x:row>
    <x:row r="158" ht="44" customHeight="1">
      <x:c r="A158" s="10" t="d">
        <x:v>2027-03-07T00:00:00.000Z</x:v>
      </x:c>
      <x:c r="B158" s="9" t="str">
        <x:v>вс</x:v>
      </x:c>
      <x:c r="C158" s="9" t="n">
        <x:v>27</x:v>
      </x:c>
      <x:c r="D158" s="11" t="n">
        <x:v>34</x:v>
      </x:c>
      <x:c r="E158" s="9" t="str">
        <x:v>Длительная до 34 км на RPE 2–3. Использовать проверенное чередование бега и ходьбы; заранее подготовить воду питание и выход с маршрута.</x:v>
      </x:c>
      <x:c r="F158" s="9"/>
      <x:c r="G158" s="12"/>
      <x:c r="H158" s="13"/>
      <x:c r="I158" s="12"/>
      <x:c r="J158" s="12"/>
      <x:c r="K158" s="12"/>
      <x:c r="L158" s="12"/>
      <x:c r="M158" s="12"/>
      <x:c r="N158" s="12"/>
      <x:c r="O158" s="12"/>
      <x:c r="P158" s="12"/>
    </x:row>
    <x:row r="159" ht="44" customHeight="1">
      <x:c r="A159" s="10" t="d">
        <x:v>2027-03-08T00:00:00.000Z</x:v>
      </x:c>
      <x:c r="B159" s="9" t="str">
        <x:v>пн</x:v>
      </x:c>
      <x:c r="C159" s="9" t="n">
        <x:v>28</x:v>
      </x:c>
      <x:c r="D159" s="11" t="n">
        <x:v>6</x:v>
      </x:c>
      <x:c r="E159" s="9" t="str">
        <x:v>Лёгкий бег до 6 км на RPE 2–3. Сократить дистанцию при ограничениях дня или ухудшении состояния.</x:v>
      </x:c>
      <x:c r="F159" s="9"/>
      <x:c r="G159" s="12"/>
      <x:c r="H159" s="13"/>
      <x:c r="I159" s="12"/>
      <x:c r="J159" s="12"/>
      <x:c r="K159" s="12"/>
      <x:c r="L159" s="12"/>
      <x:c r="M159" s="12"/>
      <x:c r="N159" s="12"/>
      <x:c r="O159" s="12"/>
      <x:c r="P159" s="12"/>
    </x:row>
    <x:row r="160" ht="44" customHeight="1">
      <x:c r="A160" s="10" t="d">
        <x:v>2027-03-09T00:00:00.000Z</x:v>
      </x:c>
      <x:c r="B160" s="9" t="str">
        <x:v>вт</x:v>
      </x:c>
      <x:c r="C160" s="9" t="n">
        <x:v>28</x:v>
      </x:c>
      <x:c r="D160" s="11" t="n">
        <x:v>9</x:v>
      </x:c>
      <x:c r="E160" s="9" t="str">
        <x:v>Лёгкий бег до 9 км на RPE 2–3. Сократить дистанцию при ограничениях дня или ухудшении состояния.</x:v>
      </x:c>
      <x:c r="F160" s="9"/>
      <x:c r="G160" s="12"/>
      <x:c r="H160" s="13"/>
      <x:c r="I160" s="12"/>
      <x:c r="J160" s="12"/>
      <x:c r="K160" s="12"/>
      <x:c r="L160" s="12"/>
      <x:c r="M160" s="12"/>
      <x:c r="N160" s="12"/>
      <x:c r="O160" s="12"/>
      <x:c r="P160" s="12"/>
    </x:row>
    <x:row r="161" ht="46" customHeight="1">
      <x:c r="A161" s="10" t="d">
        <x:v>2027-03-10T00:00:00.000Z</x:v>
      </x:c>
      <x:c r="B161" s="9" t="str">
        <x:v>ср</x:v>
      </x:c>
      <x:c r="C161" s="9" t="n">
        <x:v>28</x:v>
      </x:c>
      <x:c r="D161" s="11" t="n">
        <x:v>6</x:v>
      </x:c>
      <x:c r="E161" s="9" t="str">
        <x:v>Привычный лёгкий контрольный бег на RPE 3 с разговором полными предложениями. Сравнить две части основного участка по ЧСС и усилию. Не увеличивать привычный объём.</x:v>
      </x:c>
      <x:c r="F161" s="9" t="str">
        <x:v>S2: бэнд 2×10, короткая стопа 2×5×5с, баланс 2×30с, dead bug 2×8</x:v>
      </x:c>
      <x:c r="G161" s="12"/>
      <x:c r="H161" s="13"/>
      <x:c r="I161" s="12"/>
      <x:c r="J161" s="12"/>
      <x:c r="K161" s="12"/>
      <x:c r="L161" s="12"/>
      <x:c r="M161" s="12"/>
      <x:c r="N161" s="12"/>
      <x:c r="O161" s="12"/>
      <x:c r="P161" s="12"/>
    </x:row>
    <x:row r="162" ht="44" customHeight="1">
      <x:c r="A162" s="10" t="d">
        <x:v>2027-03-11T00:00:00.000Z</x:v>
      </x:c>
      <x:c r="B162" s="9" t="str">
        <x:v>чт</x:v>
      </x:c>
      <x:c r="C162" s="9" t="n">
        <x:v>28</x:v>
      </x:c>
      <x:c r="D162" s="11" t="n">
        <x:v>0</x:v>
      </x:c>
      <x:c r="E162" s="9" t="str">
        <x:v>Отдых от бега. Оценить восстановление и реакцию колена; пропущенные километры не догонять.</x:v>
      </x:c>
      <x:c r="F162" s="9" t="str">
        <x:v>S1: присед/сплит 2–3×8–12, мост 2–3×12–15, икры 2–3×12–20, тяга 2–3×10–15, боковая планка 2–3×20–40с</x:v>
      </x:c>
      <x:c r="G162" s="12"/>
      <x:c r="H162" s="13"/>
      <x:c r="I162" s="12"/>
      <x:c r="J162" s="12"/>
      <x:c r="K162" s="12"/>
      <x:c r="L162" s="12"/>
      <x:c r="M162" s="12"/>
      <x:c r="N162" s="12"/>
      <x:c r="O162" s="12"/>
      <x:c r="P162" s="12"/>
    </x:row>
    <x:row r="163" ht="46" customHeight="1">
      <x:c r="A163" s="10" t="d">
        <x:v>2027-03-12T00:00:00.000Z</x:v>
      </x:c>
      <x:c r="B163" s="9" t="str">
        <x:v>пт</x:v>
      </x:c>
      <x:c r="C163" s="9" t="n">
        <x:v>28</x:v>
      </x:c>
      <x:c r="D163" s="11" t="n">
        <x:v>0</x:v>
      </x:c>
      <x:c r="E163" s="9" t="str">
        <x:v>Лёгкий доступный велосипед или другая безударная работа вместо бега на RPE 2–3. При усталости отдых. Не добавлять её поверх беговой задачи.</x:v>
      </x:c>
      <x:c r="F163" s="9"/>
      <x:c r="G163" s="12"/>
      <x:c r="H163" s="13"/>
      <x:c r="I163" s="12"/>
      <x:c r="J163" s="12"/>
      <x:c r="K163" s="12"/>
      <x:c r="L163" s="12"/>
      <x:c r="M163" s="12"/>
      <x:c r="N163" s="12"/>
      <x:c r="O163" s="12"/>
      <x:c r="P163" s="12"/>
    </x:row>
    <x:row r="164" ht="44" customHeight="1">
      <x:c r="A164" s="10" t="d">
        <x:v>2027-03-13T00:00:00.000Z</x:v>
      </x:c>
      <x:c r="B164" s="9" t="str">
        <x:v>сб</x:v>
      </x:c>
      <x:c r="C164" s="9" t="n">
        <x:v>28</x:v>
      </x:c>
      <x:c r="D164" s="11" t="n">
        <x:v>11</x:v>
      </x:c>
      <x:c r="E164" s="9" t="str">
        <x:v>Лёгкий бег до 11 км на RPE 2. Сохранить силы для воскресенья.</x:v>
      </x:c>
      <x:c r="F164" s="9"/>
      <x:c r="G164" s="12"/>
      <x:c r="H164" s="13"/>
      <x:c r="I164" s="12"/>
      <x:c r="J164" s="12"/>
      <x:c r="K164" s="12"/>
      <x:c r="L164" s="12"/>
      <x:c r="M164" s="12"/>
      <x:c r="N164" s="12"/>
      <x:c r="O164" s="12"/>
      <x:c r="P164" s="12"/>
    </x:row>
    <x:row r="165" ht="44" customHeight="1">
      <x:c r="A165" s="10" t="d">
        <x:v>2027-03-14T00:00:00.000Z</x:v>
      </x:c>
      <x:c r="B165" s="9" t="str">
        <x:v>вс</x:v>
      </x:c>
      <x:c r="C165" s="9" t="n">
        <x:v>28</x:v>
      </x:c>
      <x:c r="D165" s="11" t="n">
        <x:v>36</x:v>
      </x:c>
      <x:c r="E165" s="9" t="str">
        <x:v>Длительная до 36 км на RPE 2–3. Использовать проверенное чередование бега и ходьбы; заранее подготовить воду питание и выход с маршрута.</x:v>
      </x:c>
      <x:c r="F165" s="9"/>
      <x:c r="G165" s="12"/>
      <x:c r="H165" s="13"/>
      <x:c r="I165" s="12"/>
      <x:c r="J165" s="12"/>
      <x:c r="K165" s="12"/>
      <x:c r="L165" s="12"/>
      <x:c r="M165" s="12"/>
      <x:c r="N165" s="12"/>
      <x:c r="O165" s="12"/>
      <x:c r="P165" s="12"/>
    </x:row>
    <x:row r="166" ht="44" customHeight="1">
      <x:c r="A166" s="10" t="d">
        <x:v>2027-03-15T00:00:00.000Z</x:v>
      </x:c>
      <x:c r="B166" s="9" t="str">
        <x:v>пн</x:v>
      </x:c>
      <x:c r="C166" s="9" t="n">
        <x:v>29</x:v>
      </x:c>
      <x:c r="D166" s="11" t="n">
        <x:v>5</x:v>
      </x:c>
      <x:c r="E166" s="9" t="str">
        <x:v>Лёгкий бег до 5 км на RPE 2–3. Сократить дистанцию при ограничениях дня или ухудшении состояния.</x:v>
      </x:c>
      <x:c r="F166" s="9"/>
      <x:c r="G166" s="12"/>
      <x:c r="H166" s="13"/>
      <x:c r="I166" s="12"/>
      <x:c r="J166" s="12"/>
      <x:c r="K166" s="12"/>
      <x:c r="L166" s="12"/>
      <x:c r="M166" s="12"/>
      <x:c r="N166" s="12"/>
      <x:c r="O166" s="12"/>
      <x:c r="P166" s="12"/>
    </x:row>
    <x:row r="167" ht="44" customHeight="1">
      <x:c r="A167" s="10" t="d">
        <x:v>2027-03-16T00:00:00.000Z</x:v>
      </x:c>
      <x:c r="B167" s="9" t="str">
        <x:v>вт</x:v>
      </x:c>
      <x:c r="C167" s="9" t="n">
        <x:v>29</x:v>
      </x:c>
      <x:c r="D167" s="11" t="n">
        <x:v>7</x:v>
      </x:c>
      <x:c r="E167" s="9" t="str">
        <x:v>Лёгкий бег до 7 км на RPE 2–3. Сократить дистанцию при ограничениях дня или ухудшении состояния.</x:v>
      </x:c>
      <x:c r="F167" s="9"/>
      <x:c r="G167" s="12"/>
      <x:c r="H167" s="13"/>
      <x:c r="I167" s="12"/>
      <x:c r="J167" s="12"/>
      <x:c r="K167" s="12"/>
      <x:c r="L167" s="12"/>
      <x:c r="M167" s="12"/>
      <x:c r="N167" s="12"/>
      <x:c r="O167" s="12"/>
      <x:c r="P167" s="12"/>
    </x:row>
    <x:row r="168" ht="44" customHeight="1">
      <x:c r="A168" s="10" t="d">
        <x:v>2027-03-17T00:00:00.000Z</x:v>
      </x:c>
      <x:c r="B168" s="9" t="str">
        <x:v>ср</x:v>
      </x:c>
      <x:c r="C168" s="9" t="n">
        <x:v>29</x:v>
      </x:c>
      <x:c r="D168" s="11" t="n">
        <x:v>5</x:v>
      </x:c>
      <x:c r="E168" s="9" t="str">
        <x:v>Лёгкий бег до 5 км на RPE 2–3. Сократить дистанцию при ограничениях дня или ухудшении состояния.</x:v>
      </x:c>
      <x:c r="F168" s="9" t="str">
        <x:v>S2: бэнд 2×10, короткая стопа 2×5×5с, баланс 2×30с, dead bug 2×8</x:v>
      </x:c>
      <x:c r="G168" s="12"/>
      <x:c r="H168" s="13"/>
      <x:c r="I168" s="12"/>
      <x:c r="J168" s="12"/>
      <x:c r="K168" s="12"/>
      <x:c r="L168" s="12"/>
      <x:c r="M168" s="12"/>
      <x:c r="N168" s="12"/>
      <x:c r="O168" s="12"/>
      <x:c r="P168" s="12"/>
    </x:row>
    <x:row r="169" ht="44" customHeight="1">
      <x:c r="A169" s="10" t="d">
        <x:v>2027-03-18T00:00:00.000Z</x:v>
      </x:c>
      <x:c r="B169" s="9" t="str">
        <x:v>чт</x:v>
      </x:c>
      <x:c r="C169" s="9" t="n">
        <x:v>29</x:v>
      </x:c>
      <x:c r="D169" s="11" t="n">
        <x:v>0</x:v>
      </x:c>
      <x:c r="E169" s="9" t="str">
        <x:v>Отдых от бега. Оценить восстановление и реакцию колена; пропущенные километры не догонять.</x:v>
      </x:c>
      <x:c r="F169" s="9" t="str">
        <x:v>S1: присед/сплит 2–3×8–12, мост 2–3×12–15, икры 2–3×12–20, тяга 2–3×10–15, боковая планка 2–3×20–40с</x:v>
      </x:c>
      <x:c r="G169" s="12"/>
      <x:c r="H169" s="13"/>
      <x:c r="I169" s="12"/>
      <x:c r="J169" s="12"/>
      <x:c r="K169" s="12"/>
      <x:c r="L169" s="12"/>
      <x:c r="M169" s="12"/>
      <x:c r="N169" s="12"/>
      <x:c r="O169" s="12"/>
      <x:c r="P169" s="12"/>
    </x:row>
    <x:row r="170" ht="46" customHeight="1">
      <x:c r="A170" s="10" t="d">
        <x:v>2027-03-19T00:00:00.000Z</x:v>
      </x:c>
      <x:c r="B170" s="9" t="str">
        <x:v>пт</x:v>
      </x:c>
      <x:c r="C170" s="9" t="n">
        <x:v>29</x:v>
      </x:c>
      <x:c r="D170" s="11" t="n">
        <x:v>0</x:v>
      </x:c>
      <x:c r="E170" s="9" t="str">
        <x:v>Лёгкий доступный велосипед или другая безударная работа вместо бега на RPE 2–3. При усталости отдых. Не добавлять её поверх беговой задачи.</x:v>
      </x:c>
      <x:c r="F170" s="9"/>
      <x:c r="G170" s="12"/>
      <x:c r="H170" s="13"/>
      <x:c r="I170" s="12"/>
      <x:c r="J170" s="12"/>
      <x:c r="K170" s="12"/>
      <x:c r="L170" s="12"/>
      <x:c r="M170" s="12"/>
      <x:c r="N170" s="12"/>
      <x:c r="O170" s="12"/>
      <x:c r="P170" s="12"/>
    </x:row>
    <x:row r="171" ht="44" customHeight="1">
      <x:c r="A171" s="10" t="d">
        <x:v>2027-03-20T00:00:00.000Z</x:v>
      </x:c>
      <x:c r="B171" s="9" t="str">
        <x:v>сб</x:v>
      </x:c>
      <x:c r="C171" s="9" t="n">
        <x:v>29</x:v>
      </x:c>
      <x:c r="D171" s="11" t="n">
        <x:v>9</x:v>
      </x:c>
      <x:c r="E171" s="9" t="str">
        <x:v>Лёгкий бег до 9 км на RPE 2. Сохранить силы для воскресенья.</x:v>
      </x:c>
      <x:c r="F171" s="9"/>
      <x:c r="G171" s="12"/>
      <x:c r="H171" s="13"/>
      <x:c r="I171" s="12"/>
      <x:c r="J171" s="12"/>
      <x:c r="K171" s="12"/>
      <x:c r="L171" s="12"/>
      <x:c r="M171" s="12"/>
      <x:c r="N171" s="12"/>
      <x:c r="O171" s="12"/>
      <x:c r="P171" s="12"/>
    </x:row>
    <x:row r="172" ht="44" customHeight="1">
      <x:c r="A172" s="10" t="d">
        <x:v>2027-03-21T00:00:00.000Z</x:v>
      </x:c>
      <x:c r="B172" s="9" t="str">
        <x:v>вс</x:v>
      </x:c>
      <x:c r="C172" s="9" t="n">
        <x:v>29</x:v>
      </x:c>
      <x:c r="D172" s="11" t="n">
        <x:v>24</x:v>
      </x:c>
      <x:c r="E172" s="9" t="str">
        <x:v>Длительная до 24 км на RPE 2–3. Использовать проверенное чередование бега и ходьбы; заранее подготовить воду питание и выход с маршрута.</x:v>
      </x:c>
      <x:c r="F172" s="9"/>
      <x:c r="G172" s="12"/>
      <x:c r="H172" s="13"/>
      <x:c r="I172" s="12"/>
      <x:c r="J172" s="12"/>
      <x:c r="K172" s="12"/>
      <x:c r="L172" s="12"/>
      <x:c r="M172" s="12"/>
      <x:c r="N172" s="12"/>
      <x:c r="O172" s="12"/>
      <x:c r="P172" s="12"/>
    </x:row>
    <x:row r="173" ht="44" customHeight="1">
      <x:c r="A173" s="10" t="d">
        <x:v>2027-03-22T00:00:00.000Z</x:v>
      </x:c>
      <x:c r="B173" s="9" t="str">
        <x:v>пн</x:v>
      </x:c>
      <x:c r="C173" s="9" t="n">
        <x:v>30</x:v>
      </x:c>
      <x:c r="D173" s="11" t="n">
        <x:v>6</x:v>
      </x:c>
      <x:c r="E173" s="9" t="str">
        <x:v>Лёгкий бег до 6 км на RPE 2–3. Сократить дистанцию при ограничениях дня или ухудшении состояния.</x:v>
      </x:c>
      <x:c r="F173" s="9"/>
      <x:c r="G173" s="12"/>
      <x:c r="H173" s="13"/>
      <x:c r="I173" s="12"/>
      <x:c r="J173" s="12"/>
      <x:c r="K173" s="12"/>
      <x:c r="L173" s="12"/>
      <x:c r="M173" s="12"/>
      <x:c r="N173" s="12"/>
      <x:c r="O173" s="12"/>
      <x:c r="P173" s="12"/>
    </x:row>
    <x:row r="174" ht="44" customHeight="1">
      <x:c r="A174" s="10" t="d">
        <x:v>2027-03-23T00:00:00.000Z</x:v>
      </x:c>
      <x:c r="B174" s="9" t="str">
        <x:v>вт</x:v>
      </x:c>
      <x:c r="C174" s="9" t="n">
        <x:v>30</x:v>
      </x:c>
      <x:c r="D174" s="11" t="n">
        <x:v>9</x:v>
      </x:c>
      <x:c r="E174" s="9" t="str">
        <x:v>Лёгкий бег до 9 км на RPE 2–3. Сократить дистанцию при ограничениях дня или ухудшении состояния.</x:v>
      </x:c>
      <x:c r="F174" s="9"/>
      <x:c r="G174" s="12"/>
      <x:c r="H174" s="13"/>
      <x:c r="I174" s="12"/>
      <x:c r="J174" s="12"/>
      <x:c r="K174" s="12"/>
      <x:c r="L174" s="12"/>
      <x:c r="M174" s="12"/>
      <x:c r="N174" s="12"/>
      <x:c r="O174" s="12"/>
      <x:c r="P174" s="12"/>
    </x:row>
    <x:row r="175" ht="44" customHeight="1">
      <x:c r="A175" s="10" t="d">
        <x:v>2027-03-24T00:00:00.000Z</x:v>
      </x:c>
      <x:c r="B175" s="9" t="str">
        <x:v>ср</x:v>
      </x:c>
      <x:c r="C175" s="9" t="n">
        <x:v>30</x:v>
      </x:c>
      <x:c r="D175" s="11" t="n">
        <x:v>6</x:v>
      </x:c>
      <x:c r="E175" s="9" t="str">
        <x:v>Лёгкий бег до 6 км на RPE 2–3. Сократить дистанцию при ограничениях дня или ухудшении состояния.</x:v>
      </x:c>
      <x:c r="F175" s="9" t="str">
        <x:v>S2: бэнд 2×10, короткая стопа 2×5×5с, баланс 2×30с, dead bug 2×8</x:v>
      </x:c>
      <x:c r="G175" s="12"/>
      <x:c r="H175" s="13"/>
      <x:c r="I175" s="12"/>
      <x:c r="J175" s="12"/>
      <x:c r="K175" s="12"/>
      <x:c r="L175" s="12"/>
      <x:c r="M175" s="12"/>
      <x:c r="N175" s="12"/>
      <x:c r="O175" s="12"/>
      <x:c r="P175" s="12"/>
    </x:row>
    <x:row r="176" ht="44" customHeight="1">
      <x:c r="A176" s="10" t="d">
        <x:v>2027-03-25T00:00:00.000Z</x:v>
      </x:c>
      <x:c r="B176" s="9" t="str">
        <x:v>чт</x:v>
      </x:c>
      <x:c r="C176" s="9" t="n">
        <x:v>30</x:v>
      </x:c>
      <x:c r="D176" s="11" t="n">
        <x:v>0</x:v>
      </x:c>
      <x:c r="E176" s="9" t="str">
        <x:v>Отдых от бега. Оценить восстановление и реакцию колена; пропущенные километры не догонять.</x:v>
      </x:c>
      <x:c r="F176" s="9" t="str">
        <x:v>S1: присед/сплит 2–3×8–12, мост 2–3×12–15, икры 2–3×12–20, тяга 2–3×10–15, боковая планка 2–3×20–40с</x:v>
      </x:c>
      <x:c r="G176" s="12"/>
      <x:c r="H176" s="13"/>
      <x:c r="I176" s="12"/>
      <x:c r="J176" s="12"/>
      <x:c r="K176" s="12"/>
      <x:c r="L176" s="12"/>
      <x:c r="M176" s="12"/>
      <x:c r="N176" s="12"/>
      <x:c r="O176" s="12"/>
      <x:c r="P176" s="12"/>
    </x:row>
    <x:row r="177" ht="46" customHeight="1">
      <x:c r="A177" s="10" t="d">
        <x:v>2027-03-26T00:00:00.000Z</x:v>
      </x:c>
      <x:c r="B177" s="9" t="str">
        <x:v>пт</x:v>
      </x:c>
      <x:c r="C177" s="9" t="n">
        <x:v>30</x:v>
      </x:c>
      <x:c r="D177" s="11" t="n">
        <x:v>0</x:v>
      </x:c>
      <x:c r="E177" s="9" t="str">
        <x:v>Лёгкий доступный велосипед или другая безударная работа вместо бега на RPE 2–3. При усталости отдых. Не добавлять её поверх беговой задачи.</x:v>
      </x:c>
      <x:c r="F177" s="9"/>
      <x:c r="G177" s="12"/>
      <x:c r="H177" s="13"/>
      <x:c r="I177" s="12"/>
      <x:c r="J177" s="12"/>
      <x:c r="K177" s="12"/>
      <x:c r="L177" s="12"/>
      <x:c r="M177" s="12"/>
      <x:c r="N177" s="12"/>
      <x:c r="O177" s="12"/>
      <x:c r="P177" s="12"/>
    </x:row>
    <x:row r="178" ht="44" customHeight="1">
      <x:c r="A178" s="10" t="d">
        <x:v>2027-03-27T00:00:00.000Z</x:v>
      </x:c>
      <x:c r="B178" s="9" t="str">
        <x:v>сб</x:v>
      </x:c>
      <x:c r="C178" s="9" t="n">
        <x:v>30</x:v>
      </x:c>
      <x:c r="D178" s="11" t="n">
        <x:v>11</x:v>
      </x:c>
      <x:c r="E178" s="9" t="str">
        <x:v>Лёгкий бег до 11 км на RPE 2. Сохранить силы для воскресенья.</x:v>
      </x:c>
      <x:c r="F178" s="9"/>
      <x:c r="G178" s="12"/>
      <x:c r="H178" s="13"/>
      <x:c r="I178" s="12"/>
      <x:c r="J178" s="12"/>
      <x:c r="K178" s="12"/>
      <x:c r="L178" s="12"/>
      <x:c r="M178" s="12"/>
      <x:c r="N178" s="12"/>
      <x:c r="O178" s="12"/>
      <x:c r="P178" s="12"/>
    </x:row>
    <x:row r="179" ht="44" customHeight="1">
      <x:c r="A179" s="10" t="d">
        <x:v>2027-03-28T00:00:00.000Z</x:v>
      </x:c>
      <x:c r="B179" s="9" t="str">
        <x:v>вс</x:v>
      </x:c>
      <x:c r="C179" s="9" t="n">
        <x:v>30</x:v>
      </x:c>
      <x:c r="D179" s="11" t="n">
        <x:v>38</x:v>
      </x:c>
      <x:c r="E179" s="9" t="str">
        <x:v>Длительная до 38 км на RPE 2–3. Использовать проверенное чередование бега и ходьбы; заранее подготовить воду питание и выход с маршрута.</x:v>
      </x:c>
      <x:c r="F179" s="9"/>
      <x:c r="G179" s="12"/>
      <x:c r="H179" s="13"/>
      <x:c r="I179" s="12"/>
      <x:c r="J179" s="12"/>
      <x:c r="K179" s="12"/>
      <x:c r="L179" s="12"/>
      <x:c r="M179" s="12"/>
      <x:c r="N179" s="12"/>
      <x:c r="O179" s="12"/>
      <x:c r="P179" s="12"/>
    </x:row>
    <x:row r="180" ht="44" customHeight="1">
      <x:c r="A180" s="10" t="d">
        <x:v>2027-03-29T00:00:00.000Z</x:v>
      </x:c>
      <x:c r="B180" s="9" t="str">
        <x:v>пн</x:v>
      </x:c>
      <x:c r="C180" s="9" t="n">
        <x:v>31</x:v>
      </x:c>
      <x:c r="D180" s="11" t="n">
        <x:v>6</x:v>
      </x:c>
      <x:c r="E180" s="9" t="str">
        <x:v>Лёгкий бег до 6 км на RPE 2–3. Сократить дистанцию при ограничениях дня или ухудшении состояния.</x:v>
      </x:c>
      <x:c r="F180" s="9"/>
      <x:c r="G180" s="12"/>
      <x:c r="H180" s="13"/>
      <x:c r="I180" s="12"/>
      <x:c r="J180" s="12"/>
      <x:c r="K180" s="12"/>
      <x:c r="L180" s="12"/>
      <x:c r="M180" s="12"/>
      <x:c r="N180" s="12"/>
      <x:c r="O180" s="12"/>
      <x:c r="P180" s="12"/>
    </x:row>
    <x:row r="181" ht="44" customHeight="1">
      <x:c r="A181" s="10" t="d">
        <x:v>2027-03-30T00:00:00.000Z</x:v>
      </x:c>
      <x:c r="B181" s="9" t="str">
        <x:v>вт</x:v>
      </x:c>
      <x:c r="C181" s="9" t="n">
        <x:v>31</x:v>
      </x:c>
      <x:c r="D181" s="11" t="n">
        <x:v>10</x:v>
      </x:c>
      <x:c r="E181" s="9" t="str">
        <x:v>Лёгкий бег до 10 км на RPE 2–3. Сократить дистанцию при ограничениях дня или ухудшении состояния.</x:v>
      </x:c>
      <x:c r="F181" s="9"/>
      <x:c r="G181" s="12"/>
      <x:c r="H181" s="13"/>
      <x:c r="I181" s="12"/>
      <x:c r="J181" s="12"/>
      <x:c r="K181" s="12"/>
      <x:c r="L181" s="12"/>
      <x:c r="M181" s="12"/>
      <x:c r="N181" s="12"/>
      <x:c r="O181" s="12"/>
      <x:c r="P181" s="12"/>
    </x:row>
    <x:row r="182" ht="44" customHeight="1">
      <x:c r="A182" s="10" t="d">
        <x:v>2027-03-31T00:00:00.000Z</x:v>
      </x:c>
      <x:c r="B182" s="9" t="str">
        <x:v>ср</x:v>
      </x:c>
      <x:c r="C182" s="9" t="n">
        <x:v>31</x:v>
      </x:c>
      <x:c r="D182" s="11" t="n">
        <x:v>6</x:v>
      </x:c>
      <x:c r="E182" s="9" t="str">
        <x:v>Лёгкий бег до 6 км на RPE 2–3. Сократить дистанцию при ограничениях дня или ухудшении состояния.</x:v>
      </x:c>
      <x:c r="F182" s="9" t="str">
        <x:v>S2: бэнд 2×10, короткая стопа 2×5×5с, баланс 2×30с, dead bug 2×8</x:v>
      </x:c>
      <x:c r="G182" s="12"/>
      <x:c r="H182" s="13"/>
      <x:c r="I182" s="12"/>
      <x:c r="J182" s="12"/>
      <x:c r="K182" s="12"/>
      <x:c r="L182" s="12"/>
      <x:c r="M182" s="12"/>
      <x:c r="N182" s="12"/>
      <x:c r="O182" s="12"/>
      <x:c r="P182" s="12"/>
    </x:row>
    <x:row r="183" ht="44" customHeight="1">
      <x:c r="A183" s="10" t="d">
        <x:v>2027-04-01T00:00:00.000Z</x:v>
      </x:c>
      <x:c r="B183" s="9" t="str">
        <x:v>чт</x:v>
      </x:c>
      <x:c r="C183" s="9" t="n">
        <x:v>31</x:v>
      </x:c>
      <x:c r="D183" s="11" t="n">
        <x:v>0</x:v>
      </x:c>
      <x:c r="E183" s="9" t="str">
        <x:v>Отдых от бега. Оценить восстановление и реакцию колена; пропущенные километры не догонять.</x:v>
      </x:c>
      <x:c r="F183" s="9" t="str">
        <x:v>S1: присед/сплит 2–3×8–12, мост 2–3×12–15, икры 2–3×12–20, тяга 2–3×10–15, боковая планка 2–3×20–40с</x:v>
      </x:c>
      <x:c r="G183" s="12"/>
      <x:c r="H183" s="13"/>
      <x:c r="I183" s="12"/>
      <x:c r="J183" s="12"/>
      <x:c r="K183" s="12"/>
      <x:c r="L183" s="12"/>
      <x:c r="M183" s="12"/>
      <x:c r="N183" s="12"/>
      <x:c r="O183" s="12"/>
      <x:c r="P183" s="12"/>
    </x:row>
    <x:row r="184" ht="46" customHeight="1">
      <x:c r="A184" s="10" t="d">
        <x:v>2027-04-02T00:00:00.000Z</x:v>
      </x:c>
      <x:c r="B184" s="9" t="str">
        <x:v>пт</x:v>
      </x:c>
      <x:c r="C184" s="9" t="n">
        <x:v>31</x:v>
      </x:c>
      <x:c r="D184" s="11" t="n">
        <x:v>0</x:v>
      </x:c>
      <x:c r="E184" s="9" t="str">
        <x:v>Лёгкий доступный велосипед или другая безударная работа вместо бега на RPE 2–3. При усталости отдых. Не добавлять её поверх беговой задачи.</x:v>
      </x:c>
      <x:c r="F184" s="9"/>
      <x:c r="G184" s="12"/>
      <x:c r="H184" s="13"/>
      <x:c r="I184" s="12"/>
      <x:c r="J184" s="12"/>
      <x:c r="K184" s="12"/>
      <x:c r="L184" s="12"/>
      <x:c r="M184" s="12"/>
      <x:c r="N184" s="12"/>
      <x:c r="O184" s="12"/>
      <x:c r="P184" s="12"/>
    </x:row>
    <x:row r="185" ht="44" customHeight="1">
      <x:c r="A185" s="10" t="d">
        <x:v>2027-04-03T00:00:00.000Z</x:v>
      </x:c>
      <x:c r="B185" s="9" t="str">
        <x:v>сб</x:v>
      </x:c>
      <x:c r="C185" s="9" t="n">
        <x:v>31</x:v>
      </x:c>
      <x:c r="D185" s="11" t="n">
        <x:v>12</x:v>
      </x:c>
      <x:c r="E185" s="9" t="str">
        <x:v>Лёгкий бег до 12 км на RPE 2. Сохранить силы для воскресенья.</x:v>
      </x:c>
      <x:c r="F185" s="9"/>
      <x:c r="G185" s="12"/>
      <x:c r="H185" s="13"/>
      <x:c r="I185" s="12"/>
      <x:c r="J185" s="12"/>
      <x:c r="K185" s="12"/>
      <x:c r="L185" s="12"/>
      <x:c r="M185" s="12"/>
      <x:c r="N185" s="12"/>
      <x:c r="O185" s="12"/>
      <x:c r="P185" s="12"/>
    </x:row>
    <x:row r="186" ht="44" customHeight="1">
      <x:c r="A186" s="10" t="d">
        <x:v>2027-04-04T00:00:00.000Z</x:v>
      </x:c>
      <x:c r="B186" s="9" t="str">
        <x:v>вс</x:v>
      </x:c>
      <x:c r="C186" s="9" t="n">
        <x:v>31</x:v>
      </x:c>
      <x:c r="D186" s="11" t="n">
        <x:v>40</x:v>
      </x:c>
      <x:c r="E186" s="9" t="str">
        <x:v>Длительная до 40 км на RPE 2–3. Использовать проверенное чередование бега и ходьбы; заранее подготовить воду питание и выход с маршрута.</x:v>
      </x:c>
      <x:c r="F186" s="9"/>
      <x:c r="G186" s="12"/>
      <x:c r="H186" s="13"/>
      <x:c r="I186" s="12"/>
      <x:c r="J186" s="12"/>
      <x:c r="K186" s="12"/>
      <x:c r="L186" s="12"/>
      <x:c r="M186" s="12"/>
      <x:c r="N186" s="12"/>
      <x:c r="O186" s="12"/>
      <x:c r="P186" s="12"/>
    </x:row>
    <x:row r="187" ht="44" customHeight="1">
      <x:c r="A187" s="10" t="d">
        <x:v>2027-04-05T00:00:00.000Z</x:v>
      </x:c>
      <x:c r="B187" s="9" t="str">
        <x:v>пн</x:v>
      </x:c>
      <x:c r="C187" s="9" t="n">
        <x:v>32</x:v>
      </x:c>
      <x:c r="D187" s="11" t="n">
        <x:v>6</x:v>
      </x:c>
      <x:c r="E187" s="9" t="str">
        <x:v>Лёгкий бег до 6 км на RPE 2–3. Сократить дистанцию при ограничениях дня или ухудшении состояния.</x:v>
      </x:c>
      <x:c r="F187" s="9"/>
      <x:c r="G187" s="12"/>
      <x:c r="H187" s="13"/>
      <x:c r="I187" s="12"/>
      <x:c r="J187" s="12"/>
      <x:c r="K187" s="12"/>
      <x:c r="L187" s="12"/>
      <x:c r="M187" s="12"/>
      <x:c r="N187" s="12"/>
      <x:c r="O187" s="12"/>
      <x:c r="P187" s="12"/>
    </x:row>
    <x:row r="188" ht="44" customHeight="1">
      <x:c r="A188" s="10" t="d">
        <x:v>2027-04-06T00:00:00.000Z</x:v>
      </x:c>
      <x:c r="B188" s="9" t="str">
        <x:v>вт</x:v>
      </x:c>
      <x:c r="C188" s="9" t="n">
        <x:v>32</x:v>
      </x:c>
      <x:c r="D188" s="11" t="n">
        <x:v>10</x:v>
      </x:c>
      <x:c r="E188" s="9" t="str">
        <x:v>Лёгкий бег до 10 км на RPE 2–3. Сократить дистанцию при ограничениях дня или ухудшении состояния.</x:v>
      </x:c>
      <x:c r="F188" s="9"/>
      <x:c r="G188" s="12"/>
      <x:c r="H188" s="13"/>
      <x:c r="I188" s="12"/>
      <x:c r="J188" s="12"/>
      <x:c r="K188" s="12"/>
      <x:c r="L188" s="12"/>
      <x:c r="M188" s="12"/>
      <x:c r="N188" s="12"/>
      <x:c r="O188" s="12"/>
      <x:c r="P188" s="12"/>
    </x:row>
    <x:row r="189" ht="44" customHeight="1">
      <x:c r="A189" s="10" t="d">
        <x:v>2027-04-07T00:00:00.000Z</x:v>
      </x:c>
      <x:c r="B189" s="9" t="str">
        <x:v>ср</x:v>
      </x:c>
      <x:c r="C189" s="9" t="n">
        <x:v>32</x:v>
      </x:c>
      <x:c r="D189" s="11" t="n">
        <x:v>6</x:v>
      </x:c>
      <x:c r="E189" s="9" t="str">
        <x:v>Лёгкий бег до 6 км на RPE 2–3. Сократить дистанцию при ограничениях дня или ухудшении состояния.</x:v>
      </x:c>
      <x:c r="F189" s="9" t="str">
        <x:v>S2: бэнд 2×10, короткая стопа 2×5×5с, баланс 2×30с, dead bug 2×8</x:v>
      </x:c>
      <x:c r="G189" s="12"/>
      <x:c r="H189" s="13"/>
      <x:c r="I189" s="12"/>
      <x:c r="J189" s="12"/>
      <x:c r="K189" s="12"/>
      <x:c r="L189" s="12"/>
      <x:c r="M189" s="12"/>
      <x:c r="N189" s="12"/>
      <x:c r="O189" s="12"/>
      <x:c r="P189" s="12"/>
    </x:row>
    <x:row r="190" ht="44" customHeight="1">
      <x:c r="A190" s="10" t="d">
        <x:v>2027-04-08T00:00:00.000Z</x:v>
      </x:c>
      <x:c r="B190" s="9" t="str">
        <x:v>чт</x:v>
      </x:c>
      <x:c r="C190" s="9" t="n">
        <x:v>32</x:v>
      </x:c>
      <x:c r="D190" s="11" t="n">
        <x:v>0</x:v>
      </x:c>
      <x:c r="E190" s="9" t="str">
        <x:v>Отдых от бега. Оценить восстановление и реакцию колена; пропущенные километры не догонять.</x:v>
      </x:c>
      <x:c r="F190" s="9" t="str">
        <x:v>S1: присед/сплит 2–3×8–12, мост 2–3×12–15, икры 2–3×12–20, тяга 2–3×10–15, боковая планка 2–3×20–40с</x:v>
      </x:c>
      <x:c r="G190" s="12"/>
      <x:c r="H190" s="13"/>
      <x:c r="I190" s="12"/>
      <x:c r="J190" s="12"/>
      <x:c r="K190" s="12"/>
      <x:c r="L190" s="12"/>
      <x:c r="M190" s="12"/>
      <x:c r="N190" s="12"/>
      <x:c r="O190" s="12"/>
      <x:c r="P190" s="12"/>
    </x:row>
    <x:row r="191" ht="46" customHeight="1">
      <x:c r="A191" s="10" t="d">
        <x:v>2027-04-09T00:00:00.000Z</x:v>
      </x:c>
      <x:c r="B191" s="9" t="str">
        <x:v>пт</x:v>
      </x:c>
      <x:c r="C191" s="9" t="n">
        <x:v>32</x:v>
      </x:c>
      <x:c r="D191" s="11" t="n">
        <x:v>0</x:v>
      </x:c>
      <x:c r="E191" s="9" t="str">
        <x:v>Лёгкий доступный велосипед или другая безударная работа вместо бега на RPE 2–3. При усталости отдых. Не добавлять её поверх беговой задачи.</x:v>
      </x:c>
      <x:c r="F191" s="9"/>
      <x:c r="G191" s="12"/>
      <x:c r="H191" s="13"/>
      <x:c r="I191" s="12"/>
      <x:c r="J191" s="12"/>
      <x:c r="K191" s="12"/>
      <x:c r="L191" s="12"/>
      <x:c r="M191" s="12"/>
      <x:c r="N191" s="12"/>
      <x:c r="O191" s="12"/>
      <x:c r="P191" s="12"/>
    </x:row>
    <x:row r="192" ht="44" customHeight="1">
      <x:c r="A192" s="10" t="d">
        <x:v>2027-04-10T00:00:00.000Z</x:v>
      </x:c>
      <x:c r="B192" s="9" t="str">
        <x:v>сб</x:v>
      </x:c>
      <x:c r="C192" s="9" t="n">
        <x:v>32</x:v>
      </x:c>
      <x:c r="D192" s="11" t="n">
        <x:v>12</x:v>
      </x:c>
      <x:c r="E192" s="9" t="str">
        <x:v>Лёгкий бег до 12 км на RPE 2. Сохранить силы для воскресенья.</x:v>
      </x:c>
      <x:c r="F192" s="9"/>
      <x:c r="G192" s="12"/>
      <x:c r="H192" s="13"/>
      <x:c r="I192" s="12"/>
      <x:c r="J192" s="12"/>
      <x:c r="K192" s="12"/>
      <x:c r="L192" s="12"/>
      <x:c r="M192" s="12"/>
      <x:c r="N192" s="12"/>
      <x:c r="O192" s="12"/>
      <x:c r="P192" s="12"/>
    </x:row>
    <x:row r="193" ht="44" customHeight="1">
      <x:c r="A193" s="10" t="d">
        <x:v>2027-04-11T00:00:00.000Z</x:v>
      </x:c>
      <x:c r="B193" s="9" t="str">
        <x:v>вс</x:v>
      </x:c>
      <x:c r="C193" s="9" t="n">
        <x:v>32</x:v>
      </x:c>
      <x:c r="D193" s="11" t="n">
        <x:v>42</x:v>
      </x:c>
      <x:c r="E193" s="9" t="str">
        <x:v>Длительная до 42 км на RPE 2–3. Использовать проверенное чередование бега и ходьбы; заранее подготовить воду питание и выход с маршрута.</x:v>
      </x:c>
      <x:c r="F193" s="9"/>
      <x:c r="G193" s="12"/>
      <x:c r="H193" s="13"/>
      <x:c r="I193" s="12"/>
      <x:c r="J193" s="12"/>
      <x:c r="K193" s="12"/>
      <x:c r="L193" s="12"/>
      <x:c r="M193" s="12"/>
      <x:c r="N193" s="12"/>
      <x:c r="O193" s="12"/>
      <x:c r="P193" s="12"/>
    </x:row>
    <x:row r="194" ht="44" customHeight="1">
      <x:c r="A194" s="10" t="d">
        <x:v>2027-04-12T00:00:00.000Z</x:v>
      </x:c>
      <x:c r="B194" s="9" t="str">
        <x:v>пн</x:v>
      </x:c>
      <x:c r="C194" s="9" t="n">
        <x:v>33</x:v>
      </x:c>
      <x:c r="D194" s="11" t="n">
        <x:v>6</x:v>
      </x:c>
      <x:c r="E194" s="9" t="str">
        <x:v>Лёгкий бег до 6 км на RPE 2–3. Сократить дистанцию при ограничениях дня или ухудшении состояния.</x:v>
      </x:c>
      <x:c r="F194" s="9"/>
      <x:c r="G194" s="12"/>
      <x:c r="H194" s="13"/>
      <x:c r="I194" s="12"/>
      <x:c r="J194" s="12"/>
      <x:c r="K194" s="12"/>
      <x:c r="L194" s="12"/>
      <x:c r="M194" s="12"/>
      <x:c r="N194" s="12"/>
      <x:c r="O194" s="12"/>
      <x:c r="P194" s="12"/>
    </x:row>
    <x:row r="195" ht="44" customHeight="1">
      <x:c r="A195" s="10" t="d">
        <x:v>2027-04-13T00:00:00.000Z</x:v>
      </x:c>
      <x:c r="B195" s="9" t="str">
        <x:v>вт</x:v>
      </x:c>
      <x:c r="C195" s="9" t="n">
        <x:v>33</x:v>
      </x:c>
      <x:c r="D195" s="11" t="n">
        <x:v>9</x:v>
      </x:c>
      <x:c r="E195" s="9" t="str">
        <x:v>Лёгкий бег до 9 км на RPE 2–3. Сократить дистанцию при ограничениях дня или ухудшении состояния.</x:v>
      </x:c>
      <x:c r="F195" s="9"/>
      <x:c r="G195" s="12"/>
      <x:c r="H195" s="13"/>
      <x:c r="I195" s="12"/>
      <x:c r="J195" s="12"/>
      <x:c r="K195" s="12"/>
      <x:c r="L195" s="12"/>
      <x:c r="M195" s="12"/>
      <x:c r="N195" s="12"/>
      <x:c r="O195" s="12"/>
      <x:c r="P195" s="12"/>
    </x:row>
    <x:row r="196" ht="44" customHeight="1">
      <x:c r="A196" s="10" t="d">
        <x:v>2027-04-14T00:00:00.000Z</x:v>
      </x:c>
      <x:c r="B196" s="9" t="str">
        <x:v>ср</x:v>
      </x:c>
      <x:c r="C196" s="9" t="n">
        <x:v>33</x:v>
      </x:c>
      <x:c r="D196" s="11" t="n">
        <x:v>5</x:v>
      </x:c>
      <x:c r="E196" s="9" t="str">
        <x:v>Лёгкий бег до 5 км на RPE 2–3. Сократить дистанцию при ограничениях дня или ухудшении состояния.</x:v>
      </x:c>
      <x:c r="F196" s="9" t="str">
        <x:v>S2: бэнд 2×10, короткая стопа 2×5×5с, баланс 2×30с, dead bug 2×8</x:v>
      </x:c>
      <x:c r="G196" s="12"/>
      <x:c r="H196" s="13"/>
      <x:c r="I196" s="12"/>
      <x:c r="J196" s="12"/>
      <x:c r="K196" s="12"/>
      <x:c r="L196" s="12"/>
      <x:c r="M196" s="12"/>
      <x:c r="N196" s="12"/>
      <x:c r="O196" s="12"/>
      <x:c r="P196" s="12"/>
    </x:row>
    <x:row r="197" ht="44" customHeight="1">
      <x:c r="A197" s="10" t="d">
        <x:v>2027-04-15T00:00:00.000Z</x:v>
      </x:c>
      <x:c r="B197" s="9" t="str">
        <x:v>чт</x:v>
      </x:c>
      <x:c r="C197" s="9" t="n">
        <x:v>33</x:v>
      </x:c>
      <x:c r="D197" s="11" t="n">
        <x:v>0</x:v>
      </x:c>
      <x:c r="E197" s="9" t="str">
        <x:v>Отдых от бега. Оценить восстановление и реакцию колена; пропущенные километры не догонять.</x:v>
      </x:c>
      <x:c r="F197" s="9" t="str">
        <x:v>S1: присед/сплит 2–3×8–12, мост 2–3×12–15, икры 2–3×12–20, тяга 2–3×10–15, боковая планка 2–3×20–40с</x:v>
      </x:c>
      <x:c r="G197" s="12"/>
      <x:c r="H197" s="13"/>
      <x:c r="I197" s="12"/>
      <x:c r="J197" s="12"/>
      <x:c r="K197" s="12"/>
      <x:c r="L197" s="12"/>
      <x:c r="M197" s="12"/>
      <x:c r="N197" s="12"/>
      <x:c r="O197" s="12"/>
      <x:c r="P197" s="12"/>
    </x:row>
    <x:row r="198" ht="46" customHeight="1">
      <x:c r="A198" s="10" t="d">
        <x:v>2027-04-16T00:00:00.000Z</x:v>
      </x:c>
      <x:c r="B198" s="9" t="str">
        <x:v>пт</x:v>
      </x:c>
      <x:c r="C198" s="9" t="n">
        <x:v>33</x:v>
      </x:c>
      <x:c r="D198" s="11" t="n">
        <x:v>0</x:v>
      </x:c>
      <x:c r="E198" s="9" t="str">
        <x:v>Лёгкий доступный велосипед или другая безударная работа вместо бега на RPE 2–3. При усталости отдых. Не добавлять её поверх беговой задачи.</x:v>
      </x:c>
      <x:c r="F198" s="9"/>
      <x:c r="G198" s="12"/>
      <x:c r="H198" s="13"/>
      <x:c r="I198" s="12"/>
      <x:c r="J198" s="12"/>
      <x:c r="K198" s="12"/>
      <x:c r="L198" s="12"/>
      <x:c r="M198" s="12"/>
      <x:c r="N198" s="12"/>
      <x:c r="O198" s="12"/>
      <x:c r="P198" s="12"/>
    </x:row>
    <x:row r="199" ht="44" customHeight="1">
      <x:c r="A199" s="10" t="d">
        <x:v>2027-04-17T00:00:00.000Z</x:v>
      </x:c>
      <x:c r="B199" s="9" t="str">
        <x:v>сб</x:v>
      </x:c>
      <x:c r="C199" s="9" t="n">
        <x:v>33</x:v>
      </x:c>
      <x:c r="D199" s="11" t="n">
        <x:v>10</x:v>
      </x:c>
      <x:c r="E199" s="9" t="str">
        <x:v>Лёгкий бег до 10 км на RPE 2. Сохранить силы для воскресенья.</x:v>
      </x:c>
      <x:c r="F199" s="9"/>
      <x:c r="G199" s="12"/>
      <x:c r="H199" s="13"/>
      <x:c r="I199" s="12"/>
      <x:c r="J199" s="12"/>
      <x:c r="K199" s="12"/>
      <x:c r="L199" s="12"/>
      <x:c r="M199" s="12"/>
      <x:c r="N199" s="12"/>
      <x:c r="O199" s="12"/>
      <x:c r="P199" s="12"/>
    </x:row>
    <x:row r="200" ht="44" customHeight="1">
      <x:c r="A200" s="10" t="d">
        <x:v>2027-04-18T00:00:00.000Z</x:v>
      </x:c>
      <x:c r="B200" s="9" t="str">
        <x:v>вс</x:v>
      </x:c>
      <x:c r="C200" s="9" t="n">
        <x:v>33</x:v>
      </x:c>
      <x:c r="D200" s="11" t="n">
        <x:v>28</x:v>
      </x:c>
      <x:c r="E200" s="9" t="str">
        <x:v>Длительная до 28 км на RPE 2–3. Использовать проверенное чередование бега и ходьбы; заранее подготовить воду питание и выход с маршрута.</x:v>
      </x:c>
      <x:c r="F200" s="9"/>
      <x:c r="G200" s="12"/>
      <x:c r="H200" s="13"/>
      <x:c r="I200" s="12"/>
      <x:c r="J200" s="12"/>
      <x:c r="K200" s="12"/>
      <x:c r="L200" s="12"/>
      <x:c r="M200" s="12"/>
      <x:c r="N200" s="12"/>
      <x:c r="O200" s="12"/>
      <x:c r="P200" s="12"/>
    </x:row>
    <x:row r="201" ht="44" customHeight="1">
      <x:c r="A201" s="10" t="d">
        <x:v>2027-04-19T00:00:00.000Z</x:v>
      </x:c>
      <x:c r="B201" s="9" t="str">
        <x:v>пн</x:v>
      </x:c>
      <x:c r="C201" s="9" t="n">
        <x:v>34</x:v>
      </x:c>
      <x:c r="D201" s="11" t="n">
        <x:v>6</x:v>
      </x:c>
      <x:c r="E201" s="9" t="str">
        <x:v>Лёгкий бег до 6 км на RPE 2–3. Сократить дистанцию при ограничениях дня или ухудшении состояния.</x:v>
      </x:c>
      <x:c r="F201" s="9"/>
      <x:c r="G201" s="12"/>
      <x:c r="H201" s="13"/>
      <x:c r="I201" s="12"/>
      <x:c r="J201" s="12"/>
      <x:c r="K201" s="12"/>
      <x:c r="L201" s="12"/>
      <x:c r="M201" s="12"/>
      <x:c r="N201" s="12"/>
      <x:c r="O201" s="12"/>
      <x:c r="P201" s="12"/>
    </x:row>
    <x:row r="202" ht="44" customHeight="1">
      <x:c r="A202" s="10" t="d">
        <x:v>2027-04-20T00:00:00.000Z</x:v>
      </x:c>
      <x:c r="B202" s="9" t="str">
        <x:v>вт</x:v>
      </x:c>
      <x:c r="C202" s="9" t="n">
        <x:v>34</x:v>
      </x:c>
      <x:c r="D202" s="11" t="n">
        <x:v>10</x:v>
      </x:c>
      <x:c r="E202" s="9" t="str">
        <x:v>Лёгкий бег до 10 км на RPE 2–3. Сократить дистанцию при ограничениях дня или ухудшении состояния.</x:v>
      </x:c>
      <x:c r="F202" s="9"/>
      <x:c r="G202" s="12"/>
      <x:c r="H202" s="13"/>
      <x:c r="I202" s="12"/>
      <x:c r="J202" s="12"/>
      <x:c r="K202" s="12"/>
      <x:c r="L202" s="12"/>
      <x:c r="M202" s="12"/>
      <x:c r="N202" s="12"/>
      <x:c r="O202" s="12"/>
      <x:c r="P202" s="12"/>
    </x:row>
    <x:row r="203" ht="44" customHeight="1">
      <x:c r="A203" s="10" t="d">
        <x:v>2027-04-21T00:00:00.000Z</x:v>
      </x:c>
      <x:c r="B203" s="9" t="str">
        <x:v>ср</x:v>
      </x:c>
      <x:c r="C203" s="9" t="n">
        <x:v>34</x:v>
      </x:c>
      <x:c r="D203" s="11" t="n">
        <x:v>6</x:v>
      </x:c>
      <x:c r="E203" s="9" t="str">
        <x:v>Лёгкий бег до 6 км на RPE 2–3. Сократить дистанцию при ограничениях дня или ухудшении состояния.</x:v>
      </x:c>
      <x:c r="F203" s="9" t="str">
        <x:v>S2: бэнд 2×10, короткая стопа 2×5×5с, баланс 2×30с, dead bug 2×8; только поддержание</x:v>
      </x:c>
      <x:c r="G203" s="12"/>
      <x:c r="H203" s="13"/>
      <x:c r="I203" s="12"/>
      <x:c r="J203" s="12"/>
      <x:c r="K203" s="12"/>
      <x:c r="L203" s="12"/>
      <x:c r="M203" s="12"/>
      <x:c r="N203" s="12"/>
      <x:c r="O203" s="12"/>
      <x:c r="P203" s="12"/>
    </x:row>
    <x:row r="204" ht="44" customHeight="1">
      <x:c r="A204" s="10" t="d">
        <x:v>2027-04-22T00:00:00.000Z</x:v>
      </x:c>
      <x:c r="B204" s="9" t="str">
        <x:v>чт</x:v>
      </x:c>
      <x:c r="C204" s="9" t="n">
        <x:v>34</x:v>
      </x:c>
      <x:c r="D204" s="11" t="n">
        <x:v>0</x:v>
      </x:c>
      <x:c r="E204" s="9" t="str">
        <x:v>Отдых от бега. Оценить восстановление и реакцию колена; пропущенные километры не догонять.</x:v>
      </x:c>
      <x:c r="F204" s="9" t="str">
        <x:v>S1: присед/сплит 1–2×8–12, мост 1–2×12–15, икры 1–2×12–20, тяга 1–2×10–15, боковая планка 1–2×20–40с; только поддержание</x:v>
      </x:c>
      <x:c r="G204" s="12"/>
      <x:c r="H204" s="13"/>
      <x:c r="I204" s="12"/>
      <x:c r="J204" s="12"/>
      <x:c r="K204" s="12"/>
      <x:c r="L204" s="12"/>
      <x:c r="M204" s="12"/>
      <x:c r="N204" s="12"/>
      <x:c r="O204" s="12"/>
      <x:c r="P204" s="12"/>
    </x:row>
    <x:row r="205" ht="46" customHeight="1">
      <x:c r="A205" s="10" t="d">
        <x:v>2027-04-23T00:00:00.000Z</x:v>
      </x:c>
      <x:c r="B205" s="9" t="str">
        <x:v>пт</x:v>
      </x:c>
      <x:c r="C205" s="9" t="n">
        <x:v>34</x:v>
      </x:c>
      <x:c r="D205" s="11" t="n">
        <x:v>0</x:v>
      </x:c>
      <x:c r="E205" s="9" t="str">
        <x:v>Лёгкий доступный велосипед или другая безударная работа вместо бега на RPE 2–3. При усталости отдых. Не добавлять её поверх беговой задачи.</x:v>
      </x:c>
      <x:c r="F205" s="9"/>
      <x:c r="G205" s="12"/>
      <x:c r="H205" s="13"/>
      <x:c r="I205" s="12"/>
      <x:c r="J205" s="12"/>
      <x:c r="K205" s="12"/>
      <x:c r="L205" s="12"/>
      <x:c r="M205" s="12"/>
      <x:c r="N205" s="12"/>
      <x:c r="O205" s="12"/>
      <x:c r="P205" s="12"/>
    </x:row>
    <x:row r="206" ht="44" customHeight="1">
      <x:c r="A206" s="10" t="d">
        <x:v>2027-04-24T00:00:00.000Z</x:v>
      </x:c>
      <x:c r="B206" s="9" t="str">
        <x:v>сб</x:v>
      </x:c>
      <x:c r="C206" s="9" t="n">
        <x:v>34</x:v>
      </x:c>
      <x:c r="D206" s="11" t="n">
        <x:v>12</x:v>
      </x:c>
      <x:c r="E206" s="9" t="str">
        <x:v>Лёгкий бег до 12 км на RPE 2. Сохранить силы для воскресенья.</x:v>
      </x:c>
      <x:c r="F206" s="9"/>
      <x:c r="G206" s="12"/>
      <x:c r="H206" s="13"/>
      <x:c r="I206" s="12"/>
      <x:c r="J206" s="12"/>
      <x:c r="K206" s="12"/>
      <x:c r="L206" s="12"/>
      <x:c r="M206" s="12"/>
      <x:c r="N206" s="12"/>
      <x:c r="O206" s="12"/>
      <x:c r="P206" s="12"/>
    </x:row>
    <x:row r="207" ht="44" customHeight="1">
      <x:c r="A207" s="10" t="d">
        <x:v>2027-04-25T00:00:00.000Z</x:v>
      </x:c>
      <x:c r="B207" s="9" t="str">
        <x:v>вс</x:v>
      </x:c>
      <x:c r="C207" s="9" t="n">
        <x:v>34</x:v>
      </x:c>
      <x:c r="D207" s="11" t="n">
        <x:v>44</x:v>
      </x:c>
      <x:c r="E207" s="9" t="str">
        <x:v>Длительная до 44 км на RPE 2–3. Использовать проверенное чередование бега и ходьбы; заранее подготовить воду питание и выход с маршрута.</x:v>
      </x:c>
      <x:c r="F207" s="9"/>
      <x:c r="G207" s="12"/>
      <x:c r="H207" s="13"/>
      <x:c r="I207" s="12"/>
      <x:c r="J207" s="12"/>
      <x:c r="K207" s="12"/>
      <x:c r="L207" s="12"/>
      <x:c r="M207" s="12"/>
      <x:c r="N207" s="12"/>
      <x:c r="O207" s="12"/>
      <x:c r="P207" s="12"/>
    </x:row>
    <x:row r="208" ht="44" customHeight="1">
      <x:c r="A208" s="10" t="d">
        <x:v>2027-04-26T00:00:00.000Z</x:v>
      </x:c>
      <x:c r="B208" s="9" t="str">
        <x:v>пн</x:v>
      </x:c>
      <x:c r="C208" s="9" t="n">
        <x:v>35</x:v>
      </x:c>
      <x:c r="D208" s="11" t="n">
        <x:v>6</x:v>
      </x:c>
      <x:c r="E208" s="9" t="str">
        <x:v>Лёгкий бег до 6 км на RPE 2–3. Сократить дистанцию при ограничениях дня или ухудшении состояния.</x:v>
      </x:c>
      <x:c r="F208" s="9"/>
      <x:c r="G208" s="12"/>
      <x:c r="H208" s="13"/>
      <x:c r="I208" s="12"/>
      <x:c r="J208" s="12"/>
      <x:c r="K208" s="12"/>
      <x:c r="L208" s="12"/>
      <x:c r="M208" s="12"/>
      <x:c r="N208" s="12"/>
      <x:c r="O208" s="12"/>
      <x:c r="P208" s="12"/>
    </x:row>
    <x:row r="209" ht="44" customHeight="1">
      <x:c r="A209" s="10" t="d">
        <x:v>2027-04-27T00:00:00.000Z</x:v>
      </x:c>
      <x:c r="B209" s="9" t="str">
        <x:v>вт</x:v>
      </x:c>
      <x:c r="C209" s="9" t="n">
        <x:v>35</x:v>
      </x:c>
      <x:c r="D209" s="11" t="n">
        <x:v>10</x:v>
      </x:c>
      <x:c r="E209" s="9" t="str">
        <x:v>Лёгкий бег до 10 км на RPE 2–3. Сократить дистанцию при ограничениях дня или ухудшении состояния.</x:v>
      </x:c>
      <x:c r="F209" s="9"/>
      <x:c r="G209" s="12"/>
      <x:c r="H209" s="13"/>
      <x:c r="I209" s="12"/>
      <x:c r="J209" s="12"/>
      <x:c r="K209" s="12"/>
      <x:c r="L209" s="12"/>
      <x:c r="M209" s="12"/>
      <x:c r="N209" s="12"/>
      <x:c r="O209" s="12"/>
      <x:c r="P209" s="12"/>
    </x:row>
    <x:row r="210" ht="44" customHeight="1">
      <x:c r="A210" s="10" t="d">
        <x:v>2027-04-28T00:00:00.000Z</x:v>
      </x:c>
      <x:c r="B210" s="9" t="str">
        <x:v>ср</x:v>
      </x:c>
      <x:c r="C210" s="9" t="n">
        <x:v>35</x:v>
      </x:c>
      <x:c r="D210" s="11" t="n">
        <x:v>6</x:v>
      </x:c>
      <x:c r="E210" s="9" t="str">
        <x:v>Лёгкий бег до 6 км на RPE 2–3. Сократить дистанцию при ограничениях дня или ухудшении состояния.</x:v>
      </x:c>
      <x:c r="F210" s="9" t="str">
        <x:v>S2: бэнд 2×10, короткая стопа 2×5×5с, баланс 2×30с, dead bug 2×8; только поддержание</x:v>
      </x:c>
      <x:c r="G210" s="12"/>
      <x:c r="H210" s="13"/>
      <x:c r="I210" s="12"/>
      <x:c r="J210" s="12"/>
      <x:c r="K210" s="12"/>
      <x:c r="L210" s="12"/>
      <x:c r="M210" s="12"/>
      <x:c r="N210" s="12"/>
      <x:c r="O210" s="12"/>
      <x:c r="P210" s="12"/>
    </x:row>
    <x:row r="211" ht="44" customHeight="1">
      <x:c r="A211" s="10" t="d">
        <x:v>2027-04-29T00:00:00.000Z</x:v>
      </x:c>
      <x:c r="B211" s="9" t="str">
        <x:v>чт</x:v>
      </x:c>
      <x:c r="C211" s="9" t="n">
        <x:v>35</x:v>
      </x:c>
      <x:c r="D211" s="11" t="n">
        <x:v>0</x:v>
      </x:c>
      <x:c r="E211" s="9" t="str">
        <x:v>Отдых от бега. Оценить восстановление и реакцию колена; пропущенные километры не догонять.</x:v>
      </x:c>
      <x:c r="F211" s="9" t="str">
        <x:v>S1: присед/сплит 1–2×8–12, мост 1–2×12–15, икры 1–2×12–20, тяга 1–2×10–15, боковая планка 1–2×20–40с; только поддержание</x:v>
      </x:c>
      <x:c r="G211" s="12"/>
      <x:c r="H211" s="13"/>
      <x:c r="I211" s="12"/>
      <x:c r="J211" s="12"/>
      <x:c r="K211" s="12"/>
      <x:c r="L211" s="12"/>
      <x:c r="M211" s="12"/>
      <x:c r="N211" s="12"/>
      <x:c r="O211" s="12"/>
      <x:c r="P211" s="12"/>
    </x:row>
    <x:row r="212" ht="46" customHeight="1">
      <x:c r="A212" s="10" t="d">
        <x:v>2027-04-30T00:00:00.000Z</x:v>
      </x:c>
      <x:c r="B212" s="9" t="str">
        <x:v>пт</x:v>
      </x:c>
      <x:c r="C212" s="9" t="n">
        <x:v>35</x:v>
      </x:c>
      <x:c r="D212" s="11" t="n">
        <x:v>0</x:v>
      </x:c>
      <x:c r="E212" s="9" t="str">
        <x:v>Лёгкий доступный велосипед или другая безударная работа вместо бега на RPE 2–3. При усталости отдых. Не добавлять её поверх беговой задачи.</x:v>
      </x:c>
      <x:c r="F212" s="9"/>
      <x:c r="G212" s="12"/>
      <x:c r="H212" s="13"/>
      <x:c r="I212" s="12"/>
      <x:c r="J212" s="12"/>
      <x:c r="K212" s="12"/>
      <x:c r="L212" s="12"/>
      <x:c r="M212" s="12"/>
      <x:c r="N212" s="12"/>
      <x:c r="O212" s="12"/>
      <x:c r="P212" s="12"/>
    </x:row>
    <x:row r="213" ht="44" customHeight="1">
      <x:c r="A213" s="10" t="d">
        <x:v>2027-05-01T00:00:00.000Z</x:v>
      </x:c>
      <x:c r="B213" s="9" t="str">
        <x:v>сб</x:v>
      </x:c>
      <x:c r="C213" s="9" t="n">
        <x:v>35</x:v>
      </x:c>
      <x:c r="D213" s="11" t="n">
        <x:v>12</x:v>
      </x:c>
      <x:c r="E213" s="9" t="str">
        <x:v>Лёгкий бег до 12 км на RPE 2. Сохранить силы для воскресенья.</x:v>
      </x:c>
      <x:c r="F213" s="9"/>
      <x:c r="G213" s="12"/>
      <x:c r="H213" s="13"/>
      <x:c r="I213" s="12"/>
      <x:c r="J213" s="12"/>
      <x:c r="K213" s="12"/>
      <x:c r="L213" s="12"/>
      <x:c r="M213" s="12"/>
      <x:c r="N213" s="12"/>
      <x:c r="O213" s="12"/>
      <x:c r="P213" s="12"/>
    </x:row>
    <x:row r="214" ht="44" customHeight="1">
      <x:c r="A214" s="10" t="d">
        <x:v>2027-05-02T00:00:00.000Z</x:v>
      </x:c>
      <x:c r="B214" s="9" t="str">
        <x:v>вс</x:v>
      </x:c>
      <x:c r="C214" s="9" t="n">
        <x:v>35</x:v>
      </x:c>
      <x:c r="D214" s="11" t="n">
        <x:v>28</x:v>
      </x:c>
      <x:c r="E214" s="9" t="str">
        <x:v>Длительная до 28 км на RPE 2–3. Использовать проверенное чередование бега и ходьбы; заранее подготовить воду питание и выход с маршрута.</x:v>
      </x:c>
      <x:c r="F214" s="9"/>
      <x:c r="G214" s="12"/>
      <x:c r="H214" s="13"/>
      <x:c r="I214" s="12"/>
      <x:c r="J214" s="12"/>
      <x:c r="K214" s="12"/>
      <x:c r="L214" s="12"/>
      <x:c r="M214" s="12"/>
      <x:c r="N214" s="12"/>
      <x:c r="O214" s="12"/>
      <x:c r="P214" s="12"/>
    </x:row>
    <x:row r="215" ht="44" customHeight="1">
      <x:c r="A215" s="10" t="d">
        <x:v>2027-05-03T00:00:00.000Z</x:v>
      </x:c>
      <x:c r="B215" s="9" t="str">
        <x:v>пн</x:v>
      </x:c>
      <x:c r="C215" s="9" t="n">
        <x:v>36</x:v>
      </x:c>
      <x:c r="D215" s="11" t="n">
        <x:v>6</x:v>
      </x:c>
      <x:c r="E215" s="9" t="str">
        <x:v>Лёгкий бег до 6 км на RPE 2–3. Сократить дистанцию при ограничениях дня или ухудшении состояния.</x:v>
      </x:c>
      <x:c r="F215" s="9"/>
      <x:c r="G215" s="12"/>
      <x:c r="H215" s="13"/>
      <x:c r="I215" s="12"/>
      <x:c r="J215" s="12"/>
      <x:c r="K215" s="12"/>
      <x:c r="L215" s="12"/>
      <x:c r="M215" s="12"/>
      <x:c r="N215" s="12"/>
      <x:c r="O215" s="12"/>
      <x:c r="P215" s="12"/>
    </x:row>
    <x:row r="216" ht="44" customHeight="1">
      <x:c r="A216" s="10" t="d">
        <x:v>2027-05-04T00:00:00.000Z</x:v>
      </x:c>
      <x:c r="B216" s="9" t="str">
        <x:v>вт</x:v>
      </x:c>
      <x:c r="C216" s="9" t="n">
        <x:v>36</x:v>
      </x:c>
      <x:c r="D216" s="11" t="n">
        <x:v>10</x:v>
      </x:c>
      <x:c r="E216" s="9" t="str">
        <x:v>Лёгкий бег до 10 км на RPE 2–3. Сократить дистанцию при ограничениях дня или ухудшении состояния.</x:v>
      </x:c>
      <x:c r="F216" s="9"/>
      <x:c r="G216" s="12"/>
      <x:c r="H216" s="13"/>
      <x:c r="I216" s="12"/>
      <x:c r="J216" s="12"/>
      <x:c r="K216" s="12"/>
      <x:c r="L216" s="12"/>
      <x:c r="M216" s="12"/>
      <x:c r="N216" s="12"/>
      <x:c r="O216" s="12"/>
      <x:c r="P216" s="12"/>
    </x:row>
    <x:row r="217" ht="44" customHeight="1">
      <x:c r="A217" s="10" t="d">
        <x:v>2027-05-05T00:00:00.000Z</x:v>
      </x:c>
      <x:c r="B217" s="9" t="str">
        <x:v>ср</x:v>
      </x:c>
      <x:c r="C217" s="9" t="n">
        <x:v>36</x:v>
      </x:c>
      <x:c r="D217" s="11" t="n">
        <x:v>6</x:v>
      </x:c>
      <x:c r="E217" s="9" t="str">
        <x:v>Лёгкий бег до 6 км на RPE 2–3. Сократить дистанцию при ограничениях дня или ухудшении состояния.</x:v>
      </x:c>
      <x:c r="F217" s="9" t="str">
        <x:v>S2: бэнд 2×10, короткая стопа 2×5×5с, баланс 2×30с, dead bug 2×8; только поддержание</x:v>
      </x:c>
      <x:c r="G217" s="12"/>
      <x:c r="H217" s="13"/>
      <x:c r="I217" s="12"/>
      <x:c r="J217" s="12"/>
      <x:c r="K217" s="12"/>
      <x:c r="L217" s="12"/>
      <x:c r="M217" s="12"/>
      <x:c r="N217" s="12"/>
      <x:c r="O217" s="12"/>
      <x:c r="P217" s="12"/>
    </x:row>
    <x:row r="218" ht="44" customHeight="1">
      <x:c r="A218" s="10" t="d">
        <x:v>2027-05-06T00:00:00.000Z</x:v>
      </x:c>
      <x:c r="B218" s="9" t="str">
        <x:v>чт</x:v>
      </x:c>
      <x:c r="C218" s="9" t="n">
        <x:v>36</x:v>
      </x:c>
      <x:c r="D218" s="11" t="n">
        <x:v>0</x:v>
      </x:c>
      <x:c r="E218" s="9" t="str">
        <x:v>Отдых от бега. Оценить восстановление и реакцию колена; пропущенные километры не догонять.</x:v>
      </x:c>
      <x:c r="F218" s="9" t="str">
        <x:v>S1: присед/сплит 1–2×8–12, мост 1–2×12–15, икры 1–2×12–20, тяга 1–2×10–15, боковая планка 1–2×20–40с; только поддержание</x:v>
      </x:c>
      <x:c r="G218" s="12"/>
      <x:c r="H218" s="13"/>
      <x:c r="I218" s="12"/>
      <x:c r="J218" s="12"/>
      <x:c r="K218" s="12"/>
      <x:c r="L218" s="12"/>
      <x:c r="M218" s="12"/>
      <x:c r="N218" s="12"/>
      <x:c r="O218" s="12"/>
      <x:c r="P218" s="12"/>
    </x:row>
    <x:row r="219" ht="46" customHeight="1">
      <x:c r="A219" s="10" t="d">
        <x:v>2027-05-07T00:00:00.000Z</x:v>
      </x:c>
      <x:c r="B219" s="9" t="str">
        <x:v>пт</x:v>
      </x:c>
      <x:c r="C219" s="9" t="n">
        <x:v>36</x:v>
      </x:c>
      <x:c r="D219" s="11" t="n">
        <x:v>0</x:v>
      </x:c>
      <x:c r="E219" s="9" t="str">
        <x:v>Лёгкий доступный велосипед или другая безударная работа вместо бега на RPE 2–3. При усталости отдых. Не добавлять её поверх беговой задачи.</x:v>
      </x:c>
      <x:c r="F219" s="9"/>
      <x:c r="G219" s="12"/>
      <x:c r="H219" s="13"/>
      <x:c r="I219" s="12"/>
      <x:c r="J219" s="12"/>
      <x:c r="K219" s="12"/>
      <x:c r="L219" s="12"/>
      <x:c r="M219" s="12"/>
      <x:c r="N219" s="12"/>
      <x:c r="O219" s="12"/>
      <x:c r="P219" s="12"/>
    </x:row>
    <x:row r="220" ht="44" customHeight="1">
      <x:c r="A220" s="10" t="d">
        <x:v>2027-05-08T00:00:00.000Z</x:v>
      </x:c>
      <x:c r="B220" s="9" t="str">
        <x:v>сб</x:v>
      </x:c>
      <x:c r="C220" s="9" t="n">
        <x:v>36</x:v>
      </x:c>
      <x:c r="D220" s="11" t="n">
        <x:v>12</x:v>
      </x:c>
      <x:c r="E220" s="9" t="str">
        <x:v>Лёгкий бег до 12 км на RPE 2. Сохранить силы для воскресенья.</x:v>
      </x:c>
      <x:c r="F220" s="9"/>
      <x:c r="G220" s="12"/>
      <x:c r="H220" s="13"/>
      <x:c r="I220" s="12"/>
      <x:c r="J220" s="12"/>
      <x:c r="K220" s="12"/>
      <x:c r="L220" s="12"/>
      <x:c r="M220" s="12"/>
      <x:c r="N220" s="12"/>
      <x:c r="O220" s="12"/>
      <x:c r="P220" s="12"/>
    </x:row>
    <x:row r="221" ht="44" customHeight="1">
      <x:c r="A221" s="10" t="d">
        <x:v>2027-05-09T00:00:00.000Z</x:v>
      </x:c>
      <x:c r="B221" s="9" t="str">
        <x:v>вс</x:v>
      </x:c>
      <x:c r="C221" s="9" t="n">
        <x:v>36</x:v>
      </x:c>
      <x:c r="D221" s="11" t="n">
        <x:v>50</x:v>
      </x:c>
      <x:c r="E221" s="9" t="str">
        <x:v>Длительная до 50 км на RPE 2–3. Использовать проверенное чередование бега и ходьбы; заранее подготовить воду питание и выход с маршрута.</x:v>
      </x:c>
      <x:c r="F221" s="9"/>
      <x:c r="G221" s="12"/>
      <x:c r="H221" s="13"/>
      <x:c r="I221" s="12"/>
      <x:c r="J221" s="12"/>
      <x:c r="K221" s="12"/>
      <x:c r="L221" s="12"/>
      <x:c r="M221" s="12"/>
      <x:c r="N221" s="12"/>
      <x:c r="O221" s="12"/>
      <x:c r="P221" s="12"/>
    </x:row>
    <x:row r="222" ht="44" customHeight="1">
      <x:c r="A222" s="10" t="d">
        <x:v>2027-05-10T00:00:00.000Z</x:v>
      </x:c>
      <x:c r="B222" s="9" t="str">
        <x:v>пн</x:v>
      </x:c>
      <x:c r="C222" s="9" t="n">
        <x:v>37</x:v>
      </x:c>
      <x:c r="D222" s="11" t="n">
        <x:v>6</x:v>
      </x:c>
      <x:c r="E222" s="9" t="str">
        <x:v>Лёгкий бег до 6 км на RPE 2–3. Сократить дистанцию при ограничениях дня или ухудшении состояния.</x:v>
      </x:c>
      <x:c r="F222" s="9"/>
      <x:c r="G222" s="12"/>
      <x:c r="H222" s="13"/>
      <x:c r="I222" s="12"/>
      <x:c r="J222" s="12"/>
      <x:c r="K222" s="12"/>
      <x:c r="L222" s="12"/>
      <x:c r="M222" s="12"/>
      <x:c r="N222" s="12"/>
      <x:c r="O222" s="12"/>
      <x:c r="P222" s="12"/>
    </x:row>
    <x:row r="223" ht="44" customHeight="1">
      <x:c r="A223" s="10" t="d">
        <x:v>2027-05-11T00:00:00.000Z</x:v>
      </x:c>
      <x:c r="B223" s="9" t="str">
        <x:v>вт</x:v>
      </x:c>
      <x:c r="C223" s="9" t="n">
        <x:v>37</x:v>
      </x:c>
      <x:c r="D223" s="11" t="n">
        <x:v>10</x:v>
      </x:c>
      <x:c r="E223" s="9" t="str">
        <x:v>Лёгкий бег до 10 км на RPE 2–3. Сократить дистанцию при ограничениях дня или ухудшении состояния.</x:v>
      </x:c>
      <x:c r="F223" s="9"/>
      <x:c r="G223" s="12"/>
      <x:c r="H223" s="13"/>
      <x:c r="I223" s="12"/>
      <x:c r="J223" s="12"/>
      <x:c r="K223" s="12"/>
      <x:c r="L223" s="12"/>
      <x:c r="M223" s="12"/>
      <x:c r="N223" s="12"/>
      <x:c r="O223" s="12"/>
      <x:c r="P223" s="12"/>
    </x:row>
    <x:row r="224" ht="44" customHeight="1">
      <x:c r="A224" s="10" t="d">
        <x:v>2027-05-12T00:00:00.000Z</x:v>
      </x:c>
      <x:c r="B224" s="9" t="str">
        <x:v>ср</x:v>
      </x:c>
      <x:c r="C224" s="9" t="n">
        <x:v>37</x:v>
      </x:c>
      <x:c r="D224" s="11" t="n">
        <x:v>6</x:v>
      </x:c>
      <x:c r="E224" s="9" t="str">
        <x:v>Лёгкий бег до 6 км на RPE 2–3. Сократить дистанцию при ограничениях дня или ухудшении состояния.</x:v>
      </x:c>
      <x:c r="F224" s="9" t="str">
        <x:v>S2: бэнд 2×10, короткая стопа 2×5×5с, баланс 2×30с, dead bug 2×8; только поддержание</x:v>
      </x:c>
      <x:c r="G224" s="12"/>
      <x:c r="H224" s="13"/>
      <x:c r="I224" s="12"/>
      <x:c r="J224" s="12"/>
      <x:c r="K224" s="12"/>
      <x:c r="L224" s="12"/>
      <x:c r="M224" s="12"/>
      <x:c r="N224" s="12"/>
      <x:c r="O224" s="12"/>
      <x:c r="P224" s="12"/>
    </x:row>
    <x:row r="225" ht="44" customHeight="1">
      <x:c r="A225" s="10" t="d">
        <x:v>2027-05-13T00:00:00.000Z</x:v>
      </x:c>
      <x:c r="B225" s="9" t="str">
        <x:v>чт</x:v>
      </x:c>
      <x:c r="C225" s="9" t="n">
        <x:v>37</x:v>
      </x:c>
      <x:c r="D225" s="11" t="n">
        <x:v>0</x:v>
      </x:c>
      <x:c r="E225" s="9" t="str">
        <x:v>Отдых от бега. Оценить восстановление и реакцию колена; пропущенные километры не догонять.</x:v>
      </x:c>
      <x:c r="F225" s="9" t="str">
        <x:v>S1: присед/сплит 1–2×8–12, мост 1–2×12–15, икры 1–2×12–20, тяга 1–2×10–15, боковая планка 1–2×20–40с; только поддержание</x:v>
      </x:c>
      <x:c r="G225" s="12"/>
      <x:c r="H225" s="13"/>
      <x:c r="I225" s="12"/>
      <x:c r="J225" s="12"/>
      <x:c r="K225" s="12"/>
      <x:c r="L225" s="12"/>
      <x:c r="M225" s="12"/>
      <x:c r="N225" s="12"/>
      <x:c r="O225" s="12"/>
      <x:c r="P225" s="12"/>
    </x:row>
    <x:row r="226" ht="46" customHeight="1">
      <x:c r="A226" s="10" t="d">
        <x:v>2027-05-14T00:00:00.000Z</x:v>
      </x:c>
      <x:c r="B226" s="9" t="str">
        <x:v>пт</x:v>
      </x:c>
      <x:c r="C226" s="9" t="n">
        <x:v>37</x:v>
      </x:c>
      <x:c r="D226" s="11" t="n">
        <x:v>0</x:v>
      </x:c>
      <x:c r="E226" s="9" t="str">
        <x:v>Лёгкий доступный велосипед или другая безударная работа вместо бега на RPE 2–3. При усталости отдых. Не добавлять её поверх беговой задачи.</x:v>
      </x:c>
      <x:c r="F226" s="9"/>
      <x:c r="G226" s="12"/>
      <x:c r="H226" s="13"/>
      <x:c r="I226" s="12"/>
      <x:c r="J226" s="12"/>
      <x:c r="K226" s="12"/>
      <x:c r="L226" s="12"/>
      <x:c r="M226" s="12"/>
      <x:c r="N226" s="12"/>
      <x:c r="O226" s="12"/>
      <x:c r="P226" s="12"/>
    </x:row>
    <x:row r="227" ht="44" customHeight="1">
      <x:c r="A227" s="10" t="d">
        <x:v>2027-05-15T00:00:00.000Z</x:v>
      </x:c>
      <x:c r="B227" s="9" t="str">
        <x:v>сб</x:v>
      </x:c>
      <x:c r="C227" s="9" t="n">
        <x:v>37</x:v>
      </x:c>
      <x:c r="D227" s="11" t="n">
        <x:v>12</x:v>
      </x:c>
      <x:c r="E227" s="9" t="str">
        <x:v>Лёгкий бег до 12 км на RPE 2. Сохранить силы для воскресенья.</x:v>
      </x:c>
      <x:c r="F227" s="9"/>
      <x:c r="G227" s="12"/>
      <x:c r="H227" s="13"/>
      <x:c r="I227" s="12"/>
      <x:c r="J227" s="12"/>
      <x:c r="K227" s="12"/>
      <x:c r="L227" s="12"/>
      <x:c r="M227" s="12"/>
      <x:c r="N227" s="12"/>
      <x:c r="O227" s="12"/>
      <x:c r="P227" s="12"/>
    </x:row>
    <x:row r="228" ht="44" customHeight="1">
      <x:c r="A228" s="10" t="d">
        <x:v>2027-05-16T00:00:00.000Z</x:v>
      </x:c>
      <x:c r="B228" s="9" t="str">
        <x:v>вс</x:v>
      </x:c>
      <x:c r="C228" s="9" t="n">
        <x:v>37</x:v>
      </x:c>
      <x:c r="D228" s="11" t="n">
        <x:v>30</x:v>
      </x:c>
      <x:c r="E228" s="9" t="str">
        <x:v>Длительная до 30 км на RPE 2–3. Использовать проверенное чередование бега и ходьбы; заранее подготовить воду питание и выход с маршрута.</x:v>
      </x:c>
      <x:c r="F228" s="9"/>
      <x:c r="G228" s="12"/>
      <x:c r="H228" s="13"/>
      <x:c r="I228" s="12"/>
      <x:c r="J228" s="12"/>
      <x:c r="K228" s="12"/>
      <x:c r="L228" s="12"/>
      <x:c r="M228" s="12"/>
      <x:c r="N228" s="12"/>
      <x:c r="O228" s="12"/>
      <x:c r="P228" s="12"/>
    </x:row>
    <x:row r="229" ht="44" customHeight="1">
      <x:c r="A229" s="10" t="d">
        <x:v>2027-05-17T00:00:00.000Z</x:v>
      </x:c>
      <x:c r="B229" s="9" t="str">
        <x:v>пн</x:v>
      </x:c>
      <x:c r="C229" s="9" t="n">
        <x:v>38</x:v>
      </x:c>
      <x:c r="D229" s="11" t="n">
        <x:v>6</x:v>
      </x:c>
      <x:c r="E229" s="9" t="str">
        <x:v>Лёгкий бег до 6 км на RPE 2–3. Сократить дистанцию при ограничениях дня или ухудшении состояния.</x:v>
      </x:c>
      <x:c r="F229" s="9"/>
      <x:c r="G229" s="12"/>
      <x:c r="H229" s="13"/>
      <x:c r="I229" s="12"/>
      <x:c r="J229" s="12"/>
      <x:c r="K229" s="12"/>
      <x:c r="L229" s="12"/>
      <x:c r="M229" s="12"/>
      <x:c r="N229" s="12"/>
      <x:c r="O229" s="12"/>
      <x:c r="P229" s="12"/>
    </x:row>
    <x:row r="230" ht="44" customHeight="1">
      <x:c r="A230" s="10" t="d">
        <x:v>2027-05-18T00:00:00.000Z</x:v>
      </x:c>
      <x:c r="B230" s="9" t="str">
        <x:v>вт</x:v>
      </x:c>
      <x:c r="C230" s="9" t="n">
        <x:v>38</x:v>
      </x:c>
      <x:c r="D230" s="11" t="n">
        <x:v>10</x:v>
      </x:c>
      <x:c r="E230" s="9" t="str">
        <x:v>Лёгкий бег до 10 км на RPE 2–3. Сократить дистанцию при ограничениях дня или ухудшении состояния.</x:v>
      </x:c>
      <x:c r="F230" s="9"/>
      <x:c r="G230" s="12"/>
      <x:c r="H230" s="13"/>
      <x:c r="I230" s="12"/>
      <x:c r="J230" s="12"/>
      <x:c r="K230" s="12"/>
      <x:c r="L230" s="12"/>
      <x:c r="M230" s="12"/>
      <x:c r="N230" s="12"/>
      <x:c r="O230" s="12"/>
      <x:c r="P230" s="12"/>
    </x:row>
    <x:row r="231" ht="44" customHeight="1">
      <x:c r="A231" s="10" t="d">
        <x:v>2027-05-19T00:00:00.000Z</x:v>
      </x:c>
      <x:c r="B231" s="9" t="str">
        <x:v>ср</x:v>
      </x:c>
      <x:c r="C231" s="9" t="n">
        <x:v>38</x:v>
      </x:c>
      <x:c r="D231" s="11" t="n">
        <x:v>6</x:v>
      </x:c>
      <x:c r="E231" s="9" t="str">
        <x:v>Лёгкий бег до 6 км на RPE 2–3. Сократить дистанцию при ограничениях дня или ухудшении состояния.</x:v>
      </x:c>
      <x:c r="F231" s="9" t="str">
        <x:v>S2: бэнд 2×10, короткая стопа 2×5×5с, баланс 2×30с, dead bug 2×8; только поддержание</x:v>
      </x:c>
      <x:c r="G231" s="12"/>
      <x:c r="H231" s="13"/>
      <x:c r="I231" s="12"/>
      <x:c r="J231" s="12"/>
      <x:c r="K231" s="12"/>
      <x:c r="L231" s="12"/>
      <x:c r="M231" s="12"/>
      <x:c r="N231" s="12"/>
      <x:c r="O231" s="12"/>
      <x:c r="P231" s="12"/>
    </x:row>
    <x:row r="232" ht="44" customHeight="1">
      <x:c r="A232" s="10" t="d">
        <x:v>2027-05-20T00:00:00.000Z</x:v>
      </x:c>
      <x:c r="B232" s="9" t="str">
        <x:v>чт</x:v>
      </x:c>
      <x:c r="C232" s="9" t="n">
        <x:v>38</x:v>
      </x:c>
      <x:c r="D232" s="11" t="n">
        <x:v>0</x:v>
      </x:c>
      <x:c r="E232" s="9" t="str">
        <x:v>Отдых от бега. Оценить восстановление и реакцию колена; пропущенные километры не догонять.</x:v>
      </x:c>
      <x:c r="F232" s="9" t="str">
        <x:v>S1: присед/сплит 1–2×8–12, мост 1–2×12–15, икры 1–2×12–20, тяга 1–2×10–15, боковая планка 1–2×20–40с; только поддержание</x:v>
      </x:c>
      <x:c r="G232" s="12"/>
      <x:c r="H232" s="13"/>
      <x:c r="I232" s="12"/>
      <x:c r="J232" s="12"/>
      <x:c r="K232" s="12"/>
      <x:c r="L232" s="12"/>
      <x:c r="M232" s="12"/>
      <x:c r="N232" s="12"/>
      <x:c r="O232" s="12"/>
      <x:c r="P232" s="12"/>
    </x:row>
    <x:row r="233" ht="46" customHeight="1">
      <x:c r="A233" s="10" t="d">
        <x:v>2027-05-21T00:00:00.000Z</x:v>
      </x:c>
      <x:c r="B233" s="9" t="str">
        <x:v>пт</x:v>
      </x:c>
      <x:c r="C233" s="9" t="n">
        <x:v>38</x:v>
      </x:c>
      <x:c r="D233" s="11" t="n">
        <x:v>0</x:v>
      </x:c>
      <x:c r="E233" s="9" t="str">
        <x:v>Лёгкий доступный велосипед или другая безударная работа вместо бега на RPE 2–3. При усталости отдых. Не добавлять её поверх беговой задачи.</x:v>
      </x:c>
      <x:c r="F233" s="9"/>
      <x:c r="G233" s="12"/>
      <x:c r="H233" s="13"/>
      <x:c r="I233" s="12"/>
      <x:c r="J233" s="12"/>
      <x:c r="K233" s="12"/>
      <x:c r="L233" s="12"/>
      <x:c r="M233" s="12"/>
      <x:c r="N233" s="12"/>
      <x:c r="O233" s="12"/>
      <x:c r="P233" s="12"/>
    </x:row>
    <x:row r="234" ht="44" customHeight="1">
      <x:c r="A234" s="10" t="d">
        <x:v>2027-05-22T00:00:00.000Z</x:v>
      </x:c>
      <x:c r="B234" s="9" t="str">
        <x:v>сб</x:v>
      </x:c>
      <x:c r="C234" s="9" t="n">
        <x:v>38</x:v>
      </x:c>
      <x:c r="D234" s="11" t="n">
        <x:v>12</x:v>
      </x:c>
      <x:c r="E234" s="9" t="str">
        <x:v>Лёгкий бег до 12 км на RPE 2. Сохранить силы для воскресенья.</x:v>
      </x:c>
      <x:c r="F234" s="9"/>
      <x:c r="G234" s="12"/>
      <x:c r="H234" s="13"/>
      <x:c r="I234" s="12"/>
      <x:c r="J234" s="12"/>
      <x:c r="K234" s="12"/>
      <x:c r="L234" s="12"/>
      <x:c r="M234" s="12"/>
      <x:c r="N234" s="12"/>
      <x:c r="O234" s="12"/>
      <x:c r="P234" s="12"/>
    </x:row>
    <x:row r="235" ht="44" customHeight="1">
      <x:c r="A235" s="10" t="d">
        <x:v>2027-05-23T00:00:00.000Z</x:v>
      </x:c>
      <x:c r="B235" s="9" t="str">
        <x:v>вс</x:v>
      </x:c>
      <x:c r="C235" s="9" t="n">
        <x:v>38</x:v>
      </x:c>
      <x:c r="D235" s="11" t="n">
        <x:v>60</x:v>
      </x:c>
      <x:c r="E235" s="9" t="str">
        <x:v>Длительная до 60 км на RPE 2–3. Использовать проверенное чередование бега и ходьбы; заранее подготовить воду питание и выход с маршрута.</x:v>
      </x:c>
      <x:c r="F235" s="9"/>
      <x:c r="G235" s="12"/>
      <x:c r="H235" s="13"/>
      <x:c r="I235" s="12"/>
      <x:c r="J235" s="12"/>
      <x:c r="K235" s="12"/>
      <x:c r="L235" s="12"/>
      <x:c r="M235" s="12"/>
      <x:c r="N235" s="12"/>
      <x:c r="O235" s="12"/>
      <x:c r="P235" s="12"/>
    </x:row>
    <x:row r="236" ht="44" customHeight="1">
      <x:c r="A236" s="10" t="d">
        <x:v>2027-05-24T00:00:00.000Z</x:v>
      </x:c>
      <x:c r="B236" s="9" t="str">
        <x:v>пн</x:v>
      </x:c>
      <x:c r="C236" s="9" t="n">
        <x:v>39</x:v>
      </x:c>
      <x:c r="D236" s="11" t="n">
        <x:v>6</x:v>
      </x:c>
      <x:c r="E236" s="9" t="str">
        <x:v>Лёгкий бег до 6 км на RPE 2–3. Сократить дистанцию при ограничениях дня или ухудшении состояния.</x:v>
      </x:c>
      <x:c r="F236" s="9"/>
      <x:c r="G236" s="12"/>
      <x:c r="H236" s="13"/>
      <x:c r="I236" s="12"/>
      <x:c r="J236" s="12"/>
      <x:c r="K236" s="12"/>
      <x:c r="L236" s="12"/>
      <x:c r="M236" s="12"/>
      <x:c r="N236" s="12"/>
      <x:c r="O236" s="12"/>
      <x:c r="P236" s="12"/>
    </x:row>
    <x:row r="237" ht="44" customHeight="1">
      <x:c r="A237" s="10" t="d">
        <x:v>2027-05-25T00:00:00.000Z</x:v>
      </x:c>
      <x:c r="B237" s="9" t="str">
        <x:v>вт</x:v>
      </x:c>
      <x:c r="C237" s="9" t="n">
        <x:v>39</x:v>
      </x:c>
      <x:c r="D237" s="11" t="n">
        <x:v>10</x:v>
      </x:c>
      <x:c r="E237" s="9" t="str">
        <x:v>Лёгкий бег до 10 км на RPE 2–3. Сократить дистанцию при ограничениях дня или ухудшении состояния.</x:v>
      </x:c>
      <x:c r="F237" s="9"/>
      <x:c r="G237" s="12"/>
      <x:c r="H237" s="13"/>
      <x:c r="I237" s="12"/>
      <x:c r="J237" s="12"/>
      <x:c r="K237" s="12"/>
      <x:c r="L237" s="12"/>
      <x:c r="M237" s="12"/>
      <x:c r="N237" s="12"/>
      <x:c r="O237" s="12"/>
      <x:c r="P237" s="12"/>
    </x:row>
    <x:row r="238" ht="44" customHeight="1">
      <x:c r="A238" s="10" t="d">
        <x:v>2027-05-26T00:00:00.000Z</x:v>
      </x:c>
      <x:c r="B238" s="9" t="str">
        <x:v>ср</x:v>
      </x:c>
      <x:c r="C238" s="9" t="n">
        <x:v>39</x:v>
      </x:c>
      <x:c r="D238" s="11" t="n">
        <x:v>6</x:v>
      </x:c>
      <x:c r="E238" s="9" t="str">
        <x:v>Лёгкий бег до 6 км на RPE 2–3. Сократить дистанцию при ограничениях дня или ухудшении состояния.</x:v>
      </x:c>
      <x:c r="F238" s="9" t="str">
        <x:v>S2: бэнд 2×10, короткая стопа 2×5×5с, баланс 2×30с, dead bug 2×8; только поддержание</x:v>
      </x:c>
      <x:c r="G238" s="12"/>
      <x:c r="H238" s="13"/>
      <x:c r="I238" s="12"/>
      <x:c r="J238" s="12"/>
      <x:c r="K238" s="12"/>
      <x:c r="L238" s="12"/>
      <x:c r="M238" s="12"/>
      <x:c r="N238" s="12"/>
      <x:c r="O238" s="12"/>
      <x:c r="P238" s="12"/>
    </x:row>
    <x:row r="239" ht="44" customHeight="1">
      <x:c r="A239" s="10" t="d">
        <x:v>2027-05-27T00:00:00.000Z</x:v>
      </x:c>
      <x:c r="B239" s="9" t="str">
        <x:v>чт</x:v>
      </x:c>
      <x:c r="C239" s="9" t="n">
        <x:v>39</x:v>
      </x:c>
      <x:c r="D239" s="11" t="n">
        <x:v>0</x:v>
      </x:c>
      <x:c r="E239" s="9" t="str">
        <x:v>Отдых от бега. Оценить восстановление и реакцию колена; пропущенные километры не догонять.</x:v>
      </x:c>
      <x:c r="F239" s="9" t="str">
        <x:v>S1: присед/сплит 1–2×8–12, мост 1–2×12–15, икры 1–2×12–20, тяга 1–2×10–15, боковая планка 1–2×20–40с; только поддержание</x:v>
      </x:c>
      <x:c r="G239" s="12"/>
      <x:c r="H239" s="13"/>
      <x:c r="I239" s="12"/>
      <x:c r="J239" s="12"/>
      <x:c r="K239" s="12"/>
      <x:c r="L239" s="12"/>
      <x:c r="M239" s="12"/>
      <x:c r="N239" s="12"/>
      <x:c r="O239" s="12"/>
      <x:c r="P239" s="12"/>
    </x:row>
    <x:row r="240" ht="46" customHeight="1">
      <x:c r="A240" s="10" t="d">
        <x:v>2027-05-28T00:00:00.000Z</x:v>
      </x:c>
      <x:c r="B240" s="9" t="str">
        <x:v>пт</x:v>
      </x:c>
      <x:c r="C240" s="9" t="n">
        <x:v>39</x:v>
      </x:c>
      <x:c r="D240" s="11" t="n">
        <x:v>0</x:v>
      </x:c>
      <x:c r="E240" s="9" t="str">
        <x:v>Лёгкий доступный велосипед или другая безударная работа вместо бега на RPE 2–3. При усталости отдых. Не добавлять её поверх беговой задачи.</x:v>
      </x:c>
      <x:c r="F240" s="9"/>
      <x:c r="G240" s="12"/>
      <x:c r="H240" s="13"/>
      <x:c r="I240" s="12"/>
      <x:c r="J240" s="12"/>
      <x:c r="K240" s="12"/>
      <x:c r="L240" s="12"/>
      <x:c r="M240" s="12"/>
      <x:c r="N240" s="12"/>
      <x:c r="O240" s="12"/>
      <x:c r="P240" s="12"/>
    </x:row>
    <x:row r="241" ht="44" customHeight="1">
      <x:c r="A241" s="10" t="d">
        <x:v>2027-05-29T00:00:00.000Z</x:v>
      </x:c>
      <x:c r="B241" s="9" t="str">
        <x:v>сб</x:v>
      </x:c>
      <x:c r="C241" s="9" t="n">
        <x:v>39</x:v>
      </x:c>
      <x:c r="D241" s="11" t="n">
        <x:v>12</x:v>
      </x:c>
      <x:c r="E241" s="9" t="str">
        <x:v>Лёгкий бег до 12 км на RPE 2. Сохранить силы для воскресенья.</x:v>
      </x:c>
      <x:c r="F241" s="9"/>
      <x:c r="G241" s="12"/>
      <x:c r="H241" s="13"/>
      <x:c r="I241" s="12"/>
      <x:c r="J241" s="12"/>
      <x:c r="K241" s="12"/>
      <x:c r="L241" s="12"/>
      <x:c r="M241" s="12"/>
      <x:c r="N241" s="12"/>
      <x:c r="O241" s="12"/>
      <x:c r="P241" s="12"/>
    </x:row>
    <x:row r="242" ht="44" customHeight="1">
      <x:c r="A242" s="10" t="d">
        <x:v>2027-05-30T00:00:00.000Z</x:v>
      </x:c>
      <x:c r="B242" s="9" t="str">
        <x:v>вс</x:v>
      </x:c>
      <x:c r="C242" s="9" t="n">
        <x:v>39</x:v>
      </x:c>
      <x:c r="D242" s="11" t="n">
        <x:v>28</x:v>
      </x:c>
      <x:c r="E242" s="9" t="str">
        <x:v>Длительная до 28 км на RPE 2–3. Использовать проверенное чередование бега и ходьбы; заранее подготовить воду питание и выход с маршрута.</x:v>
      </x:c>
      <x:c r="F242" s="9"/>
      <x:c r="G242" s="12"/>
      <x:c r="H242" s="13"/>
      <x:c r="I242" s="12"/>
      <x:c r="J242" s="12"/>
      <x:c r="K242" s="12"/>
      <x:c r="L242" s="12"/>
      <x:c r="M242" s="12"/>
      <x:c r="N242" s="12"/>
      <x:c r="O242" s="12"/>
      <x:c r="P242" s="12"/>
    </x:row>
    <x:row r="243" ht="44" customHeight="1">
      <x:c r="A243" s="10" t="d">
        <x:v>2027-05-31T00:00:00.000Z</x:v>
      </x:c>
      <x:c r="B243" s="9" t="str">
        <x:v>пн</x:v>
      </x:c>
      <x:c r="C243" s="9" t="n">
        <x:v>40</x:v>
      </x:c>
      <x:c r="D243" s="11" t="n">
        <x:v>6</x:v>
      </x:c>
      <x:c r="E243" s="9" t="str">
        <x:v>Лёгкий бег до 6 км на RPE 2–3. Сократить дистанцию при ограничениях дня или ухудшении состояния.</x:v>
      </x:c>
      <x:c r="F243" s="9"/>
      <x:c r="G243" s="12"/>
      <x:c r="H243" s="13"/>
      <x:c r="I243" s="12"/>
      <x:c r="J243" s="12"/>
      <x:c r="K243" s="12"/>
      <x:c r="L243" s="12"/>
      <x:c r="M243" s="12"/>
      <x:c r="N243" s="12"/>
      <x:c r="O243" s="12"/>
      <x:c r="P243" s="12"/>
    </x:row>
    <x:row r="244" ht="44" customHeight="1">
      <x:c r="A244" s="10" t="d">
        <x:v>2027-06-01T00:00:00.000Z</x:v>
      </x:c>
      <x:c r="B244" s="9" t="str">
        <x:v>вт</x:v>
      </x:c>
      <x:c r="C244" s="9" t="n">
        <x:v>40</x:v>
      </x:c>
      <x:c r="D244" s="11" t="n">
        <x:v>10</x:v>
      </x:c>
      <x:c r="E244" s="9" t="str">
        <x:v>Лёгкий бег до 10 км на RPE 2–3. Сократить дистанцию при ограничениях дня или ухудшении состояния.</x:v>
      </x:c>
      <x:c r="F244" s="9"/>
      <x:c r="G244" s="12"/>
      <x:c r="H244" s="13"/>
      <x:c r="I244" s="12"/>
      <x:c r="J244" s="12"/>
      <x:c r="K244" s="12"/>
      <x:c r="L244" s="12"/>
      <x:c r="M244" s="12"/>
      <x:c r="N244" s="12"/>
      <x:c r="O244" s="12"/>
      <x:c r="P244" s="12"/>
    </x:row>
    <x:row r="245" ht="44" customHeight="1">
      <x:c r="A245" s="10" t="d">
        <x:v>2027-06-02T00:00:00.000Z</x:v>
      </x:c>
      <x:c r="B245" s="9" t="str">
        <x:v>ср</x:v>
      </x:c>
      <x:c r="C245" s="9" t="n">
        <x:v>40</x:v>
      </x:c>
      <x:c r="D245" s="11" t="n">
        <x:v>6</x:v>
      </x:c>
      <x:c r="E245" s="9" t="str">
        <x:v>Лёгкий бег до 6 км на RPE 2–3. Сократить дистанцию при ограничениях дня или ухудшении состояния.</x:v>
      </x:c>
      <x:c r="F245" s="9" t="str">
        <x:v>S2: бэнд 2×10, короткая стопа 2×5×5с, баланс 2×30с, dead bug 2×8; только поддержание</x:v>
      </x:c>
      <x:c r="G245" s="12"/>
      <x:c r="H245" s="13"/>
      <x:c r="I245" s="12"/>
      <x:c r="J245" s="12"/>
      <x:c r="K245" s="12"/>
      <x:c r="L245" s="12"/>
      <x:c r="M245" s="12"/>
      <x:c r="N245" s="12"/>
      <x:c r="O245" s="12"/>
      <x:c r="P245" s="12"/>
    </x:row>
    <x:row r="246" ht="44" customHeight="1">
      <x:c r="A246" s="10" t="d">
        <x:v>2027-06-03T00:00:00.000Z</x:v>
      </x:c>
      <x:c r="B246" s="9" t="str">
        <x:v>чт</x:v>
      </x:c>
      <x:c r="C246" s="9" t="n">
        <x:v>40</x:v>
      </x:c>
      <x:c r="D246" s="11" t="n">
        <x:v>0</x:v>
      </x:c>
      <x:c r="E246" s="9" t="str">
        <x:v>Отдых от бега. Оценить восстановление и реакцию колена; пропущенные километры не догонять.</x:v>
      </x:c>
      <x:c r="F246" s="9" t="str">
        <x:v>S1: присед/сплит 1–2×8–12, мост 1–2×12–15, икры 1–2×12–20, тяга 1–2×10–15, боковая планка 1–2×20–40с; только поддержание</x:v>
      </x:c>
      <x:c r="G246" s="12"/>
      <x:c r="H246" s="13"/>
      <x:c r="I246" s="12"/>
      <x:c r="J246" s="12"/>
      <x:c r="K246" s="12"/>
      <x:c r="L246" s="12"/>
      <x:c r="M246" s="12"/>
      <x:c r="N246" s="12"/>
      <x:c r="O246" s="12"/>
      <x:c r="P246" s="12"/>
    </x:row>
    <x:row r="247" ht="46" customHeight="1">
      <x:c r="A247" s="10" t="d">
        <x:v>2027-06-04T00:00:00.000Z</x:v>
      </x:c>
      <x:c r="B247" s="9" t="str">
        <x:v>пт</x:v>
      </x:c>
      <x:c r="C247" s="9" t="n">
        <x:v>40</x:v>
      </x:c>
      <x:c r="D247" s="11" t="n">
        <x:v>0</x:v>
      </x:c>
      <x:c r="E247" s="9" t="str">
        <x:v>Лёгкий доступный велосипед или другая безударная работа вместо бега на RPE 2–3. При усталости отдых. Не добавлять её поверх беговой задачи.</x:v>
      </x:c>
      <x:c r="F247" s="9"/>
      <x:c r="G247" s="12"/>
      <x:c r="H247" s="13"/>
      <x:c r="I247" s="12"/>
      <x:c r="J247" s="12"/>
      <x:c r="K247" s="12"/>
      <x:c r="L247" s="12"/>
      <x:c r="M247" s="12"/>
      <x:c r="N247" s="12"/>
      <x:c r="O247" s="12"/>
      <x:c r="P247" s="12"/>
    </x:row>
    <x:row r="248" ht="44" customHeight="1">
      <x:c r="A248" s="10" t="d">
        <x:v>2027-06-05T00:00:00.000Z</x:v>
      </x:c>
      <x:c r="B248" s="9" t="str">
        <x:v>сб</x:v>
      </x:c>
      <x:c r="C248" s="9" t="n">
        <x:v>40</x:v>
      </x:c>
      <x:c r="D248" s="11" t="n">
        <x:v>12</x:v>
      </x:c>
      <x:c r="E248" s="9" t="str">
        <x:v>Лёгкий бег до 12 км на RPE 2. Сохранить силы для воскресенья.</x:v>
      </x:c>
      <x:c r="F248" s="9"/>
      <x:c r="G248" s="12"/>
      <x:c r="H248" s="13"/>
      <x:c r="I248" s="12"/>
      <x:c r="J248" s="12"/>
      <x:c r="K248" s="12"/>
      <x:c r="L248" s="12"/>
      <x:c r="M248" s="12"/>
      <x:c r="N248" s="12"/>
      <x:c r="O248" s="12"/>
      <x:c r="P248" s="12"/>
    </x:row>
    <x:row r="249" ht="44" customHeight="1">
      <x:c r="A249" s="10" t="d">
        <x:v>2027-06-06T00:00:00.000Z</x:v>
      </x:c>
      <x:c r="B249" s="9" t="str">
        <x:v>вс</x:v>
      </x:c>
      <x:c r="C249" s="9" t="n">
        <x:v>40</x:v>
      </x:c>
      <x:c r="D249" s="11" t="n">
        <x:v>65</x:v>
      </x:c>
      <x:c r="E249" s="9" t="str">
        <x:v>Длительная до 65 км на RPE 2–3. Использовать проверенное чередование бега и ходьбы; заранее подготовить воду питание и выход с маршрута.</x:v>
      </x:c>
      <x:c r="F249" s="9"/>
      <x:c r="G249" s="12"/>
      <x:c r="H249" s="13"/>
      <x:c r="I249" s="12"/>
      <x:c r="J249" s="12"/>
      <x:c r="K249" s="12"/>
      <x:c r="L249" s="12"/>
      <x:c r="M249" s="12"/>
      <x:c r="N249" s="12"/>
      <x:c r="O249" s="12"/>
      <x:c r="P249" s="12"/>
    </x:row>
    <x:row r="250" ht="44" customHeight="1">
      <x:c r="A250" s="10" t="d">
        <x:v>2027-06-07T00:00:00.000Z</x:v>
      </x:c>
      <x:c r="B250" s="9" t="str">
        <x:v>пн</x:v>
      </x:c>
      <x:c r="C250" s="9" t="n">
        <x:v>41</x:v>
      </x:c>
      <x:c r="D250" s="11" t="n">
        <x:v>6</x:v>
      </x:c>
      <x:c r="E250" s="9" t="str">
        <x:v>Лёгкий бег до 6 км на RPE 2–3. Сократить дистанцию при ограничениях дня или ухудшении состояния.</x:v>
      </x:c>
      <x:c r="F250" s="9"/>
      <x:c r="G250" s="12"/>
      <x:c r="H250" s="13"/>
      <x:c r="I250" s="12"/>
      <x:c r="J250" s="12"/>
      <x:c r="K250" s="12"/>
      <x:c r="L250" s="12"/>
      <x:c r="M250" s="12"/>
      <x:c r="N250" s="12"/>
      <x:c r="O250" s="12"/>
      <x:c r="P250" s="12"/>
    </x:row>
    <x:row r="251" ht="44" customHeight="1">
      <x:c r="A251" s="10" t="d">
        <x:v>2027-06-08T00:00:00.000Z</x:v>
      </x:c>
      <x:c r="B251" s="9" t="str">
        <x:v>вт</x:v>
      </x:c>
      <x:c r="C251" s="9" t="n">
        <x:v>41</x:v>
      </x:c>
      <x:c r="D251" s="11" t="n">
        <x:v>9</x:v>
      </x:c>
      <x:c r="E251" s="9" t="str">
        <x:v>Лёгкий бег до 9 км на RPE 2–3. Сократить дистанцию при ограничениях дня или ухудшении состояния.</x:v>
      </x:c>
      <x:c r="F251" s="9"/>
      <x:c r="G251" s="12"/>
      <x:c r="H251" s="13"/>
      <x:c r="I251" s="12"/>
      <x:c r="J251" s="12"/>
      <x:c r="K251" s="12"/>
      <x:c r="L251" s="12"/>
      <x:c r="M251" s="12"/>
      <x:c r="N251" s="12"/>
      <x:c r="O251" s="12"/>
      <x:c r="P251" s="12"/>
    </x:row>
    <x:row r="252" ht="44" customHeight="1">
      <x:c r="A252" s="10" t="d">
        <x:v>2027-06-09T00:00:00.000Z</x:v>
      </x:c>
      <x:c r="B252" s="9" t="str">
        <x:v>ср</x:v>
      </x:c>
      <x:c r="C252" s="9" t="n">
        <x:v>41</x:v>
      </x:c>
      <x:c r="D252" s="11" t="n">
        <x:v>6</x:v>
      </x:c>
      <x:c r="E252" s="9" t="str">
        <x:v>Лёгкий бег до 6 км на RPE 2–3. Сократить дистанцию при ограничениях дня или ухудшении состояния.</x:v>
      </x:c>
      <x:c r="F252" s="9" t="str">
        <x:v>S2: бэнд 2×10, короткая стопа 2×5×5с, баланс 2×30с, dead bug 2×8; только поддержание</x:v>
      </x:c>
      <x:c r="G252" s="12"/>
      <x:c r="H252" s="13"/>
      <x:c r="I252" s="12"/>
      <x:c r="J252" s="12"/>
      <x:c r="K252" s="12"/>
      <x:c r="L252" s="12"/>
      <x:c r="M252" s="12"/>
      <x:c r="N252" s="12"/>
      <x:c r="O252" s="12"/>
      <x:c r="P252" s="12"/>
    </x:row>
    <x:row r="253" ht="44" customHeight="1">
      <x:c r="A253" s="10" t="d">
        <x:v>2027-06-10T00:00:00.000Z</x:v>
      </x:c>
      <x:c r="B253" s="9" t="str">
        <x:v>чт</x:v>
      </x:c>
      <x:c r="C253" s="9" t="n">
        <x:v>41</x:v>
      </x:c>
      <x:c r="D253" s="11" t="n">
        <x:v>0</x:v>
      </x:c>
      <x:c r="E253" s="9" t="str">
        <x:v>Отдых от бега. Оценить восстановление и реакцию колена; пропущенные километры не догонять.</x:v>
      </x:c>
      <x:c r="F253" s="9" t="str">
        <x:v>S1: присед/сплит 1–2×8–12, мост 1–2×12–15, икры 1–2×12–20, тяга 1–2×10–15, боковая планка 1–2×20–40с; только поддержание</x:v>
      </x:c>
      <x:c r="G253" s="12"/>
      <x:c r="H253" s="13"/>
      <x:c r="I253" s="12"/>
      <x:c r="J253" s="12"/>
      <x:c r="K253" s="12"/>
      <x:c r="L253" s="12"/>
      <x:c r="M253" s="12"/>
      <x:c r="N253" s="12"/>
      <x:c r="O253" s="12"/>
      <x:c r="P253" s="12"/>
    </x:row>
    <x:row r="254" ht="46" customHeight="1">
      <x:c r="A254" s="10" t="d">
        <x:v>2027-06-11T00:00:00.000Z</x:v>
      </x:c>
      <x:c r="B254" s="9" t="str">
        <x:v>пт</x:v>
      </x:c>
      <x:c r="C254" s="9" t="n">
        <x:v>41</x:v>
      </x:c>
      <x:c r="D254" s="11" t="n">
        <x:v>0</x:v>
      </x:c>
      <x:c r="E254" s="9" t="str">
        <x:v>Лёгкий доступный велосипед или другая безударная работа вместо бега на RPE 2–3. При усталости отдых. Не добавлять её поверх беговой задачи.</x:v>
      </x:c>
      <x:c r="F254" s="9"/>
      <x:c r="G254" s="12"/>
      <x:c r="H254" s="13"/>
      <x:c r="I254" s="12"/>
      <x:c r="J254" s="12"/>
      <x:c r="K254" s="12"/>
      <x:c r="L254" s="12"/>
      <x:c r="M254" s="12"/>
      <x:c r="N254" s="12"/>
      <x:c r="O254" s="12"/>
      <x:c r="P254" s="12"/>
    </x:row>
    <x:row r="255" ht="44" customHeight="1">
      <x:c r="A255" s="10" t="d">
        <x:v>2027-06-12T00:00:00.000Z</x:v>
      </x:c>
      <x:c r="B255" s="9" t="str">
        <x:v>сб</x:v>
      </x:c>
      <x:c r="C255" s="9" t="n">
        <x:v>41</x:v>
      </x:c>
      <x:c r="D255" s="11" t="n">
        <x:v>11</x:v>
      </x:c>
      <x:c r="E255" s="9" t="str">
        <x:v>Лёгкий бег до 11 км на RPE 2. Сохранить силы для воскресенья.</x:v>
      </x:c>
      <x:c r="F255" s="9"/>
      <x:c r="G255" s="12"/>
      <x:c r="H255" s="13"/>
      <x:c r="I255" s="12"/>
      <x:c r="J255" s="12"/>
      <x:c r="K255" s="12"/>
      <x:c r="L255" s="12"/>
      <x:c r="M255" s="12"/>
      <x:c r="N255" s="12"/>
      <x:c r="O255" s="12"/>
      <x:c r="P255" s="12"/>
    </x:row>
    <x:row r="256" ht="44" customHeight="1">
      <x:c r="A256" s="10" t="d">
        <x:v>2027-06-13T00:00:00.000Z</x:v>
      </x:c>
      <x:c r="B256" s="9" t="str">
        <x:v>вс</x:v>
      </x:c>
      <x:c r="C256" s="9" t="n">
        <x:v>41</x:v>
      </x:c>
      <x:c r="D256" s="11" t="n">
        <x:v>26</x:v>
      </x:c>
      <x:c r="E256" s="9" t="str">
        <x:v>Длительная до 26 км на RPE 2–3. Использовать проверенное чередование бега и ходьбы; заранее подготовить воду питание и выход с маршрута.</x:v>
      </x:c>
      <x:c r="F256" s="9"/>
      <x:c r="G256" s="12"/>
      <x:c r="H256" s="13"/>
      <x:c r="I256" s="12"/>
      <x:c r="J256" s="12"/>
      <x:c r="K256" s="12"/>
      <x:c r="L256" s="12"/>
      <x:c r="M256" s="12"/>
      <x:c r="N256" s="12"/>
      <x:c r="O256" s="12"/>
      <x:c r="P256" s="12"/>
    </x:row>
    <x:row r="257" ht="44" customHeight="1">
      <x:c r="A257" s="10" t="d">
        <x:v>2027-06-14T00:00:00.000Z</x:v>
      </x:c>
      <x:c r="B257" s="9" t="str">
        <x:v>пн</x:v>
      </x:c>
      <x:c r="C257" s="9" t="n">
        <x:v>42</x:v>
      </x:c>
      <x:c r="D257" s="11" t="n">
        <x:v>5</x:v>
      </x:c>
      <x:c r="E257" s="9" t="str">
        <x:v>Лёгкий бег до 5 км на RPE 2–3. Сократить дистанцию при ограничениях дня или ухудшении состояния.</x:v>
      </x:c>
      <x:c r="F257" s="9"/>
      <x:c r="G257" s="12"/>
      <x:c r="H257" s="13"/>
      <x:c r="I257" s="12"/>
      <x:c r="J257" s="12"/>
      <x:c r="K257" s="12"/>
      <x:c r="L257" s="12"/>
      <x:c r="M257" s="12"/>
      <x:c r="N257" s="12"/>
      <x:c r="O257" s="12"/>
      <x:c r="P257" s="12"/>
    </x:row>
    <x:row r="258" ht="44" customHeight="1">
      <x:c r="A258" s="10" t="d">
        <x:v>2027-06-15T00:00:00.000Z</x:v>
      </x:c>
      <x:c r="B258" s="9" t="str">
        <x:v>вт</x:v>
      </x:c>
      <x:c r="C258" s="9" t="n">
        <x:v>42</x:v>
      </x:c>
      <x:c r="D258" s="11" t="n">
        <x:v>8</x:v>
      </x:c>
      <x:c r="E258" s="9" t="str">
        <x:v>Лёгкий бег до 8 км на RPE 2–3. Сократить дистанцию при ограничениях дня или ухудшении состояния.</x:v>
      </x:c>
      <x:c r="F258" s="9"/>
      <x:c r="G258" s="12"/>
      <x:c r="H258" s="13"/>
      <x:c r="I258" s="12"/>
      <x:c r="J258" s="12"/>
      <x:c r="K258" s="12"/>
      <x:c r="L258" s="12"/>
      <x:c r="M258" s="12"/>
      <x:c r="N258" s="12"/>
      <x:c r="O258" s="12"/>
      <x:c r="P258" s="12"/>
    </x:row>
    <x:row r="259" ht="44" customHeight="1">
      <x:c r="A259" s="10" t="d">
        <x:v>2027-06-16T00:00:00.000Z</x:v>
      </x:c>
      <x:c r="B259" s="9" t="str">
        <x:v>ср</x:v>
      </x:c>
      <x:c r="C259" s="9" t="n">
        <x:v>42</x:v>
      </x:c>
      <x:c r="D259" s="11" t="n">
        <x:v>5</x:v>
      </x:c>
      <x:c r="E259" s="9" t="str">
        <x:v>Лёгкий бег до 5 км на RPE 2–3. Сократить дистанцию при ограничениях дня или ухудшении состояния.</x:v>
      </x:c>
      <x:c r="F259" s="9" t="str">
        <x:v>S2: бэнд 2×10, короткая стопа 2×5×5с, баланс 2×30с, dead bug 2×8; только поддержание</x:v>
      </x:c>
      <x:c r="G259" s="12"/>
      <x:c r="H259" s="13"/>
      <x:c r="I259" s="12"/>
      <x:c r="J259" s="12"/>
      <x:c r="K259" s="12"/>
      <x:c r="L259" s="12"/>
      <x:c r="M259" s="12"/>
      <x:c r="N259" s="12"/>
      <x:c r="O259" s="12"/>
      <x:c r="P259" s="12"/>
    </x:row>
    <x:row r="260" ht="44" customHeight="1">
      <x:c r="A260" s="10" t="d">
        <x:v>2027-06-17T00:00:00.000Z</x:v>
      </x:c>
      <x:c r="B260" s="9" t="str">
        <x:v>чт</x:v>
      </x:c>
      <x:c r="C260" s="9" t="n">
        <x:v>42</x:v>
      </x:c>
      <x:c r="D260" s="11" t="n">
        <x:v>0</x:v>
      </x:c>
      <x:c r="E260" s="9" t="str">
        <x:v>Отдых от бега. Оценить восстановление и реакцию колена; пропущенные километры не догонять.</x:v>
      </x:c>
      <x:c r="F260" s="9" t="str">
        <x:v>S1: присед/сплит 1–2×8–12, мост 1–2×12–15, икры 1–2×12–20, тяга 1–2×10–15, боковая планка 1–2×20–40с; только поддержание</x:v>
      </x:c>
      <x:c r="G260" s="12"/>
      <x:c r="H260" s="13"/>
      <x:c r="I260" s="12"/>
      <x:c r="J260" s="12"/>
      <x:c r="K260" s="12"/>
      <x:c r="L260" s="12"/>
      <x:c r="M260" s="12"/>
      <x:c r="N260" s="12"/>
      <x:c r="O260" s="12"/>
      <x:c r="P260" s="12"/>
    </x:row>
    <x:row r="261" ht="46" customHeight="1">
      <x:c r="A261" s="10" t="d">
        <x:v>2027-06-18T00:00:00.000Z</x:v>
      </x:c>
      <x:c r="B261" s="9" t="str">
        <x:v>пт</x:v>
      </x:c>
      <x:c r="C261" s="9" t="n">
        <x:v>42</x:v>
      </x:c>
      <x:c r="D261" s="11" t="n">
        <x:v>0</x:v>
      </x:c>
      <x:c r="E261" s="9" t="str">
        <x:v>Лёгкий доступный велосипед или другая безударная работа вместо бега на RPE 2–3. При усталости отдых. Не добавлять её поверх беговой задачи.</x:v>
      </x:c>
      <x:c r="F261" s="9"/>
      <x:c r="G261" s="12"/>
      <x:c r="H261" s="13"/>
      <x:c r="I261" s="12"/>
      <x:c r="J261" s="12"/>
      <x:c r="K261" s="12"/>
      <x:c r="L261" s="12"/>
      <x:c r="M261" s="12"/>
      <x:c r="N261" s="12"/>
      <x:c r="O261" s="12"/>
      <x:c r="P261" s="12"/>
    </x:row>
    <x:row r="262" ht="44" customHeight="1">
      <x:c r="A262" s="10" t="d">
        <x:v>2027-06-19T00:00:00.000Z</x:v>
      </x:c>
      <x:c r="B262" s="9" t="str">
        <x:v>сб</x:v>
      </x:c>
      <x:c r="C262" s="9" t="n">
        <x:v>42</x:v>
      </x:c>
      <x:c r="D262" s="11" t="n">
        <x:v>10</x:v>
      </x:c>
      <x:c r="E262" s="9" t="str">
        <x:v>Лёгкий бег до 10 км на RPE 2. Сохранить силы для воскресенья.</x:v>
      </x:c>
      <x:c r="F262" s="9"/>
      <x:c r="G262" s="12"/>
      <x:c r="H262" s="13"/>
      <x:c r="I262" s="12"/>
      <x:c r="J262" s="12"/>
      <x:c r="K262" s="12"/>
      <x:c r="L262" s="12"/>
      <x:c r="M262" s="12"/>
      <x:c r="N262" s="12"/>
      <x:c r="O262" s="12"/>
      <x:c r="P262" s="12"/>
    </x:row>
    <x:row r="263" ht="44" customHeight="1">
      <x:c r="A263" s="10" t="d">
        <x:v>2027-06-20T00:00:00.000Z</x:v>
      </x:c>
      <x:c r="B263" s="9" t="str">
        <x:v>вс</x:v>
      </x:c>
      <x:c r="C263" s="9" t="n">
        <x:v>42</x:v>
      </x:c>
      <x:c r="D263" s="11" t="n">
        <x:v>22</x:v>
      </x:c>
      <x:c r="E263" s="9" t="str">
        <x:v>Длительная до 22 км на RPE 2–3. Использовать проверенное чередование бега и ходьбы; заранее подготовить воду питание и выход с маршрута.</x:v>
      </x:c>
      <x:c r="F263" s="9"/>
      <x:c r="G263" s="12"/>
      <x:c r="H263" s="13"/>
      <x:c r="I263" s="12"/>
      <x:c r="J263" s="12"/>
      <x:c r="K263" s="12"/>
      <x:c r="L263" s="12"/>
      <x:c r="M263" s="12"/>
      <x:c r="N263" s="12"/>
      <x:c r="O263" s="12"/>
      <x:c r="P263" s="12"/>
    </x:row>
    <x:row r="264" ht="44" customHeight="1">
      <x:c r="A264" s="10" t="d">
        <x:v>2027-06-21T00:00:00.000Z</x:v>
      </x:c>
      <x:c r="B264" s="9" t="str">
        <x:v>пн</x:v>
      </x:c>
      <x:c r="C264" s="9" t="n">
        <x:v>43</x:v>
      </x:c>
      <x:c r="D264" s="11" t="n">
        <x:v>4</x:v>
      </x:c>
      <x:c r="E264" s="9" t="str">
        <x:v>Лёгкий бег до 4 км на RPE 2–3. Сократить дистанцию при ограничениях дня или ухудшении состояния.</x:v>
      </x:c>
      <x:c r="F264" s="9"/>
      <x:c r="G264" s="12"/>
      <x:c r="H264" s="13"/>
      <x:c r="I264" s="12"/>
      <x:c r="J264" s="12"/>
      <x:c r="K264" s="12"/>
      <x:c r="L264" s="12"/>
      <x:c r="M264" s="12"/>
      <x:c r="N264" s="12"/>
      <x:c r="O264" s="12"/>
      <x:c r="P264" s="12"/>
    </x:row>
    <x:row r="265" ht="44" customHeight="1">
      <x:c r="A265" s="10" t="d">
        <x:v>2027-06-22T00:00:00.000Z</x:v>
      </x:c>
      <x:c r="B265" s="9" t="str">
        <x:v>вт</x:v>
      </x:c>
      <x:c r="C265" s="9" t="n">
        <x:v>43</x:v>
      </x:c>
      <x:c r="D265" s="11" t="n">
        <x:v>5</x:v>
      </x:c>
      <x:c r="E265" s="9" t="str">
        <x:v>Лёгкий бег до 5 км на RPE 2–3. Сократить дистанцию при ограничениях дня или ухудшении состояния.</x:v>
      </x:c>
      <x:c r="F265" s="9"/>
      <x:c r="G265" s="12"/>
      <x:c r="H265" s="13"/>
      <x:c r="I265" s="12"/>
      <x:c r="J265" s="12"/>
      <x:c r="K265" s="12"/>
      <x:c r="L265" s="12"/>
      <x:c r="M265" s="12"/>
      <x:c r="N265" s="12"/>
      <x:c r="O265" s="12"/>
      <x:c r="P265" s="12"/>
    </x:row>
    <x:row r="266" ht="44" customHeight="1">
      <x:c r="A266" s="10" t="d">
        <x:v>2027-06-23T00:00:00.000Z</x:v>
      </x:c>
      <x:c r="B266" s="9" t="str">
        <x:v>ср</x:v>
      </x:c>
      <x:c r="C266" s="9" t="n">
        <x:v>43</x:v>
      </x:c>
      <x:c r="D266" s="11" t="n">
        <x:v>5</x:v>
      </x:c>
      <x:c r="E266" s="9" t="str">
        <x:v>Лёгкий бег до 5 км на RPE 2–3. Сократить дистанцию при ограничениях дня или ухудшении состояния.</x:v>
      </x:c>
      <x:c r="F266" s="9"/>
      <x:c r="G266" s="12"/>
      <x:c r="H266" s="13"/>
      <x:c r="I266" s="12"/>
      <x:c r="J266" s="12"/>
      <x:c r="K266" s="12"/>
      <x:c r="L266" s="12"/>
      <x:c r="M266" s="12"/>
      <x:c r="N266" s="12"/>
      <x:c r="O266" s="12"/>
      <x:c r="P266" s="12"/>
    </x:row>
    <x:row r="267" ht="44" customHeight="1">
      <x:c r="A267" s="10" t="d">
        <x:v>2027-06-24T00:00:00.000Z</x:v>
      </x:c>
      <x:c r="B267" s="9" t="str">
        <x:v>чт</x:v>
      </x:c>
      <x:c r="C267" s="9" t="n">
        <x:v>43</x:v>
      </x:c>
      <x:c r="D267" s="11" t="n">
        <x:v>0</x:v>
      </x:c>
      <x:c r="E267" s="9" t="str">
        <x:v>Отдых от бега. Оценить восстановление и реакцию колена; пропущенные километры не догонять.</x:v>
      </x:c>
      <x:c r="F267" s="9"/>
      <x:c r="G267" s="12"/>
      <x:c r="H267" s="13"/>
      <x:c r="I267" s="12"/>
      <x:c r="J267" s="12"/>
      <x:c r="K267" s="12"/>
      <x:c r="L267" s="12"/>
      <x:c r="M267" s="12"/>
      <x:c r="N267" s="12"/>
      <x:c r="O267" s="12"/>
      <x:c r="P267" s="12"/>
    </x:row>
    <x:row r="268" ht="44" customHeight="1">
      <x:c r="A268" s="10" t="d">
        <x:v>2027-06-25T00:00:00.000Z</x:v>
      </x:c>
      <x:c r="B268" s="9" t="str">
        <x:v>пт</x:v>
      </x:c>
      <x:c r="C268" s="9" t="n">
        <x:v>43</x:v>
      </x:c>
      <x:c r="D268" s="11" t="n">
        <x:v>0</x:v>
      </x:c>
      <x:c r="E268" s="9" t="str">
        <x:v>Отдых от бега. Оценить восстановление и реакцию колена; пропущенные километры не догонять.</x:v>
      </x:c>
      <x:c r="F268" s="9"/>
      <x:c r="G268" s="12"/>
      <x:c r="H268" s="13"/>
      <x:c r="I268" s="12"/>
      <x:c r="J268" s="12"/>
      <x:c r="K268" s="12"/>
      <x:c r="L268" s="12"/>
      <x:c r="M268" s="12"/>
      <x:c r="N268" s="12"/>
      <x:c r="O268" s="12"/>
      <x:c r="P268" s="12"/>
    </x:row>
    <x:row r="269" ht="44" customHeight="1">
      <x:c r="A269" s="10" t="d">
        <x:v>2027-06-26T00:00:00.000Z</x:v>
      </x:c>
      <x:c r="B269" s="9" t="str">
        <x:v>сб</x:v>
      </x:c>
      <x:c r="C269" s="9" t="n">
        <x:v>43</x:v>
      </x:c>
      <x:c r="D269" s="11" t="n">
        <x:v>0</x:v>
      </x:c>
      <x:c r="E269" s="9" t="str">
        <x:v>Отдых от бега. Оценить восстановление и реакцию колена; пропущенные километры не догонять.</x:v>
      </x:c>
      <x:c r="F269" s="9"/>
      <x:c r="G269" s="12"/>
      <x:c r="H269" s="13"/>
      <x:c r="I269" s="12"/>
      <x:c r="J269" s="12"/>
      <x:c r="K269" s="12"/>
      <x:c r="L269" s="12"/>
      <x:c r="M269" s="12"/>
      <x:c r="N269" s="12"/>
      <x:c r="O269" s="12"/>
      <x:c r="P269" s="12"/>
    </x:row>
    <x:row r="270" ht="58" customHeight="1">
      <x:c r="A270" s="10" t="d">
        <x:v>2027-06-27T00:00:00.000Z</x:v>
      </x:c>
      <x:c r="B270" s="9" t="str">
        <x:v>вс</x:v>
      </x:c>
      <x:c r="C270" s="9" t="n">
        <x:v>43</x:v>
      </x:c>
      <x:c r="D270" s="11" t="n">
        <x:v>80</x:v>
      </x:c>
      <x:c r="E270" s="9" t="str">
        <x:v>Условная репетиция до 80 км только при допуске. Контроль на 50 60 и 70 км; 60–70 км считаются полноценной репетицией. При плохом восстановлении сократить или отменить. Только при безопасном дневном маршруте.</x:v>
      </x:c>
      <x:c r="F270" s="9"/>
      <x:c r="G270" s="12"/>
      <x:c r="H270" s="13"/>
      <x:c r="I270" s="12"/>
      <x:c r="J270" s="12"/>
      <x:c r="K270" s="12"/>
      <x:c r="L270" s="12"/>
      <x:c r="M270" s="12"/>
      <x:c r="N270" s="12"/>
      <x:c r="O270" s="12"/>
      <x:c r="P270" s="12"/>
    </x:row>
    <x:row r="271" ht="44" customHeight="1">
      <x:c r="A271" s="10" t="d">
        <x:v>2027-06-28T00:00:00.000Z</x:v>
      </x:c>
      <x:c r="B271" s="9" t="str">
        <x:v>пн</x:v>
      </x:c>
      <x:c r="C271" s="9" t="n">
        <x:v>44</x:v>
      </x:c>
      <x:c r="D271" s="11" t="n">
        <x:v>0</x:v>
      </x:c>
      <x:c r="E271" s="9" t="str">
        <x:v>Отдых от бега. Оценить восстановление и реакцию колена; пропущенные километры не догонять.</x:v>
      </x:c>
      <x:c r="F271" s="9"/>
      <x:c r="G271" s="12"/>
      <x:c r="H271" s="13"/>
      <x:c r="I271" s="12"/>
      <x:c r="J271" s="12"/>
      <x:c r="K271" s="12"/>
      <x:c r="L271" s="12"/>
      <x:c r="M271" s="12"/>
      <x:c r="N271" s="12"/>
      <x:c r="O271" s="12"/>
      <x:c r="P271" s="12"/>
    </x:row>
    <x:row r="272" ht="44" customHeight="1">
      <x:c r="A272" s="10" t="d">
        <x:v>2027-06-29T00:00:00.000Z</x:v>
      </x:c>
      <x:c r="B272" s="9" t="str">
        <x:v>вт</x:v>
      </x:c>
      <x:c r="C272" s="9" t="n">
        <x:v>44</x:v>
      </x:c>
      <x:c r="D272" s="11" t="n">
        <x:v>0</x:v>
      </x:c>
      <x:c r="E272" s="9" t="str">
        <x:v>Отдых от бега. Оценить восстановление и реакцию колена; пропущенные километры не догонять.</x:v>
      </x:c>
      <x:c r="F272" s="9"/>
      <x:c r="G272" s="12"/>
      <x:c r="H272" s="13"/>
      <x:c r="I272" s="12"/>
      <x:c r="J272" s="12"/>
      <x:c r="K272" s="12"/>
      <x:c r="L272" s="12"/>
      <x:c r="M272" s="12"/>
      <x:c r="N272" s="12"/>
      <x:c r="O272" s="12"/>
      <x:c r="P272" s="12"/>
    </x:row>
    <x:row r="273" ht="44" customHeight="1">
      <x:c r="A273" s="10" t="d">
        <x:v>2027-06-30T00:00:00.000Z</x:v>
      </x:c>
      <x:c r="B273" s="9" t="str">
        <x:v>ср</x:v>
      </x:c>
      <x:c r="C273" s="9" t="n">
        <x:v>44</x:v>
      </x:c>
      <x:c r="D273" s="11" t="n">
        <x:v>4</x:v>
      </x:c>
      <x:c r="E273" s="9" t="str">
        <x:v>Лёгкий бег до 4 км на RPE 2–3. Сократить дистанцию при ограничениях дня или ухудшении состояния.</x:v>
      </x:c>
      <x:c r="F273" s="9" t="str">
        <x:v>S2: бэнд 2×10, короткая стопа 2×5×5с, баланс 2×30с, dead bug 2×8; только поддержание; только после полного восстановления</x:v>
      </x:c>
      <x:c r="G273" s="12"/>
      <x:c r="H273" s="13"/>
      <x:c r="I273" s="12"/>
      <x:c r="J273" s="12"/>
      <x:c r="K273" s="12"/>
      <x:c r="L273" s="12"/>
      <x:c r="M273" s="12"/>
      <x:c r="N273" s="12"/>
      <x:c r="O273" s="12"/>
      <x:c r="P273" s="12"/>
    </x:row>
    <x:row r="274" ht="46" customHeight="1">
      <x:c r="A274" s="10" t="d">
        <x:v>2027-07-01T00:00:00.000Z</x:v>
      </x:c>
      <x:c r="B274" s="9" t="str">
        <x:v>чт</x:v>
      </x:c>
      <x:c r="C274" s="9" t="n">
        <x:v>44</x:v>
      </x:c>
      <x:c r="D274" s="11" t="n">
        <x:v>0</x:v>
      </x:c>
      <x:c r="E274" s="9" t="str">
        <x:v>Отдых от бега. Оценить восстановление и реакцию колена; пропущенные километры не догонять.</x:v>
      </x:c>
      <x:c r="F274" s="9" t="str">
        <x:v>S1: присед/сплит 1–2×8–12, мост 1–2×12–15, икры 1–2×12–20, тяга 1–2×10–15, боковая планка 1–2×20–40с; только поддержание; только после полного восстановления</x:v>
      </x:c>
      <x:c r="G274" s="12"/>
      <x:c r="H274" s="13"/>
      <x:c r="I274" s="12"/>
      <x:c r="J274" s="12"/>
      <x:c r="K274" s="12"/>
      <x:c r="L274" s="12"/>
      <x:c r="M274" s="12"/>
      <x:c r="N274" s="12"/>
      <x:c r="O274" s="12"/>
      <x:c r="P274" s="12"/>
    </x:row>
    <x:row r="275" ht="44" customHeight="1">
      <x:c r="A275" s="10" t="d">
        <x:v>2027-07-02T00:00:00.000Z</x:v>
      </x:c>
      <x:c r="B275" s="9" t="str">
        <x:v>пт</x:v>
      </x:c>
      <x:c r="C275" s="9" t="n">
        <x:v>44</x:v>
      </x:c>
      <x:c r="D275" s="11" t="n">
        <x:v>6</x:v>
      </x:c>
      <x:c r="E275" s="9" t="str">
        <x:v>Лёгкий бег до 6 км на RPE 2–3. Сократить дистанцию при ограничениях дня или ухудшении состояния.</x:v>
      </x:c>
      <x:c r="F275" s="9"/>
      <x:c r="G275" s="12"/>
      <x:c r="H275" s="13"/>
      <x:c r="I275" s="12"/>
      <x:c r="J275" s="12"/>
      <x:c r="K275" s="12"/>
      <x:c r="L275" s="12"/>
      <x:c r="M275" s="12"/>
      <x:c r="N275" s="12"/>
      <x:c r="O275" s="12"/>
      <x:c r="P275" s="12"/>
    </x:row>
    <x:row r="276" ht="44" customHeight="1">
      <x:c r="A276" s="10" t="d">
        <x:v>2027-07-03T00:00:00.000Z</x:v>
      </x:c>
      <x:c r="B276" s="9" t="str">
        <x:v>сб</x:v>
      </x:c>
      <x:c r="C276" s="9" t="n">
        <x:v>44</x:v>
      </x:c>
      <x:c r="D276" s="11" t="n">
        <x:v>8</x:v>
      </x:c>
      <x:c r="E276" s="9" t="str">
        <x:v>Лёгкий бег до 8 км на RPE 2. Сохранить силы для воскресенья.</x:v>
      </x:c>
      <x:c r="F276" s="9"/>
      <x:c r="G276" s="12"/>
      <x:c r="H276" s="13"/>
      <x:c r="I276" s="12"/>
      <x:c r="J276" s="12"/>
      <x:c r="K276" s="12"/>
      <x:c r="L276" s="12"/>
      <x:c r="M276" s="12"/>
      <x:c r="N276" s="12"/>
      <x:c r="O276" s="12"/>
      <x:c r="P276" s="12"/>
    </x:row>
    <x:row r="277" ht="44" customHeight="1">
      <x:c r="A277" s="10" t="d">
        <x:v>2027-07-04T00:00:00.000Z</x:v>
      </x:c>
      <x:c r="B277" s="9" t="str">
        <x:v>вс</x:v>
      </x:c>
      <x:c r="C277" s="9" t="n">
        <x:v>44</x:v>
      </x:c>
      <x:c r="D277" s="11" t="n">
        <x:v>10</x:v>
      </x:c>
      <x:c r="E277" s="9" t="str">
        <x:v>Длительная до 10 км на RPE 2–3. Использовать проверенное чередование бега и ходьбы; заранее подготовить воду питание и выход с маршрута.</x:v>
      </x:c>
      <x:c r="F277" s="9"/>
      <x:c r="G277" s="12"/>
      <x:c r="H277" s="13"/>
      <x:c r="I277" s="12"/>
      <x:c r="J277" s="12"/>
      <x:c r="K277" s="12"/>
      <x:c r="L277" s="12"/>
      <x:c r="M277" s="12"/>
      <x:c r="N277" s="12"/>
      <x:c r="O277" s="12"/>
      <x:c r="P277" s="12"/>
    </x:row>
    <x:row r="278" ht="44" customHeight="1">
      <x:c r="A278" s="10" t="d">
        <x:v>2027-07-05T00:00:00.000Z</x:v>
      </x:c>
      <x:c r="B278" s="9" t="str">
        <x:v>пн</x:v>
      </x:c>
      <x:c r="C278" s="9" t="n">
        <x:v>45</x:v>
      </x:c>
      <x:c r="D278" s="11" t="n">
        <x:v>6</x:v>
      </x:c>
      <x:c r="E278" s="9" t="str">
        <x:v>Лёгкий бег до 6 км на RPE 2–3. Сократить дистанцию при ограничениях дня или ухудшении состояния.</x:v>
      </x:c>
      <x:c r="F278" s="9"/>
      <x:c r="G278" s="12"/>
      <x:c r="H278" s="13"/>
      <x:c r="I278" s="12"/>
      <x:c r="J278" s="12"/>
      <x:c r="K278" s="12"/>
      <x:c r="L278" s="12"/>
      <x:c r="M278" s="12"/>
      <x:c r="N278" s="12"/>
      <x:c r="O278" s="12"/>
      <x:c r="P278" s="12"/>
    </x:row>
    <x:row r="279" ht="44" customHeight="1">
      <x:c r="A279" s="10" t="d">
        <x:v>2027-07-06T00:00:00.000Z</x:v>
      </x:c>
      <x:c r="B279" s="9" t="str">
        <x:v>вт</x:v>
      </x:c>
      <x:c r="C279" s="9" t="n">
        <x:v>45</x:v>
      </x:c>
      <x:c r="D279" s="11" t="n">
        <x:v>9</x:v>
      </x:c>
      <x:c r="E279" s="9" t="str">
        <x:v>Лёгкий бег до 9 км на RPE 2–3. Сократить дистанцию при ограничениях дня или ухудшении состояния.</x:v>
      </x:c>
      <x:c r="F279" s="9"/>
      <x:c r="G279" s="12"/>
      <x:c r="H279" s="13"/>
      <x:c r="I279" s="12"/>
      <x:c r="J279" s="12"/>
      <x:c r="K279" s="12"/>
      <x:c r="L279" s="12"/>
      <x:c r="M279" s="12"/>
      <x:c r="N279" s="12"/>
      <x:c r="O279" s="12"/>
      <x:c r="P279" s="12"/>
    </x:row>
    <x:row r="280" ht="44" customHeight="1">
      <x:c r="A280" s="10" t="d">
        <x:v>2027-07-07T00:00:00.000Z</x:v>
      </x:c>
      <x:c r="B280" s="9" t="str">
        <x:v>ср</x:v>
      </x:c>
      <x:c r="C280" s="9" t="n">
        <x:v>45</x:v>
      </x:c>
      <x:c r="D280" s="11" t="n">
        <x:v>5</x:v>
      </x:c>
      <x:c r="E280" s="9" t="str">
        <x:v>Лёгкий бег до 5 км на RPE 2–3. Сократить дистанцию при ограничениях дня или ухудшении состояния.</x:v>
      </x:c>
      <x:c r="F280" s="9" t="str">
        <x:v>S2: бэнд 2×10, короткая стопа 2×5×5с, баланс 2×30с, dead bug 2×8; только поддержание</x:v>
      </x:c>
      <x:c r="G280" s="12"/>
      <x:c r="H280" s="13"/>
      <x:c r="I280" s="12"/>
      <x:c r="J280" s="12"/>
      <x:c r="K280" s="12"/>
      <x:c r="L280" s="12"/>
      <x:c r="M280" s="12"/>
      <x:c r="N280" s="12"/>
      <x:c r="O280" s="12"/>
      <x:c r="P280" s="12"/>
    </x:row>
    <x:row r="281" ht="44" customHeight="1">
      <x:c r="A281" s="10" t="d">
        <x:v>2027-07-08T00:00:00.000Z</x:v>
      </x:c>
      <x:c r="B281" s="9" t="str">
        <x:v>чт</x:v>
      </x:c>
      <x:c r="C281" s="9" t="n">
        <x:v>45</x:v>
      </x:c>
      <x:c r="D281" s="11" t="n">
        <x:v>0</x:v>
      </x:c>
      <x:c r="E281" s="9" t="str">
        <x:v>Отдых от бега. Оценить восстановление и реакцию колена; пропущенные километры не догонять.</x:v>
      </x:c>
      <x:c r="F281" s="9" t="str">
        <x:v>S1: присед/сплит 1–2×8–12, мост 1–2×12–15, икры 1–2×12–20, тяга 1–2×10–15, боковая планка 1–2×20–40с; только поддержание</x:v>
      </x:c>
      <x:c r="G281" s="12"/>
      <x:c r="H281" s="13"/>
      <x:c r="I281" s="12"/>
      <x:c r="J281" s="12"/>
      <x:c r="K281" s="12"/>
      <x:c r="L281" s="12"/>
      <x:c r="M281" s="12"/>
      <x:c r="N281" s="12"/>
      <x:c r="O281" s="12"/>
      <x:c r="P281" s="12"/>
    </x:row>
    <x:row r="282" ht="46" customHeight="1">
      <x:c r="A282" s="10" t="d">
        <x:v>2027-07-09T00:00:00.000Z</x:v>
      </x:c>
      <x:c r="B282" s="9" t="str">
        <x:v>пт</x:v>
      </x:c>
      <x:c r="C282" s="9" t="n">
        <x:v>45</x:v>
      </x:c>
      <x:c r="D282" s="11" t="n">
        <x:v>0</x:v>
      </x:c>
      <x:c r="E282" s="9" t="str">
        <x:v>Лёгкий доступный велосипед или другая безударная работа вместо бега на RPE 2–3. При усталости отдых. Не добавлять её поверх беговой задачи.</x:v>
      </x:c>
      <x:c r="F282" s="9"/>
      <x:c r="G282" s="12"/>
      <x:c r="H282" s="13"/>
      <x:c r="I282" s="12"/>
      <x:c r="J282" s="12"/>
      <x:c r="K282" s="12"/>
      <x:c r="L282" s="12"/>
      <x:c r="M282" s="12"/>
      <x:c r="N282" s="12"/>
      <x:c r="O282" s="12"/>
      <x:c r="P282" s="12"/>
    </x:row>
    <x:row r="283" ht="44" customHeight="1">
      <x:c r="A283" s="10" t="d">
        <x:v>2027-07-10T00:00:00.000Z</x:v>
      </x:c>
      <x:c r="B283" s="9" t="str">
        <x:v>сб</x:v>
      </x:c>
      <x:c r="C283" s="9" t="n">
        <x:v>45</x:v>
      </x:c>
      <x:c r="D283" s="11" t="n">
        <x:v>10</x:v>
      </x:c>
      <x:c r="E283" s="9" t="str">
        <x:v>Лёгкий бег до 10 км на RPE 2. Сохранить силы для воскресенья.</x:v>
      </x:c>
      <x:c r="F283" s="9"/>
      <x:c r="G283" s="12"/>
      <x:c r="H283" s="13"/>
      <x:c r="I283" s="12"/>
      <x:c r="J283" s="12"/>
      <x:c r="K283" s="12"/>
      <x:c r="L283" s="12"/>
      <x:c r="M283" s="12"/>
      <x:c r="N283" s="12"/>
      <x:c r="O283" s="12"/>
      <x:c r="P283" s="12"/>
    </x:row>
    <x:row r="284" ht="44" customHeight="1">
      <x:c r="A284" s="10" t="d">
        <x:v>2027-07-11T00:00:00.000Z</x:v>
      </x:c>
      <x:c r="B284" s="9" t="str">
        <x:v>вс</x:v>
      </x:c>
      <x:c r="C284" s="9" t="n">
        <x:v>45</x:v>
      </x:c>
      <x:c r="D284" s="11" t="n">
        <x:v>20</x:v>
      </x:c>
      <x:c r="E284" s="9" t="str">
        <x:v>Длительная до 20 км на RPE 2–3. Использовать проверенное чередование бега и ходьбы; заранее подготовить воду питание и выход с маршрута.</x:v>
      </x:c>
      <x:c r="F284" s="9"/>
      <x:c r="G284" s="12"/>
      <x:c r="H284" s="13"/>
      <x:c r="I284" s="12"/>
      <x:c r="J284" s="12"/>
      <x:c r="K284" s="12"/>
      <x:c r="L284" s="12"/>
      <x:c r="M284" s="12"/>
      <x:c r="N284" s="12"/>
      <x:c r="O284" s="12"/>
      <x:c r="P284" s="12"/>
    </x:row>
    <x:row r="285" ht="44" customHeight="1">
      <x:c r="A285" s="10" t="d">
        <x:v>2027-07-12T00:00:00.000Z</x:v>
      </x:c>
      <x:c r="B285" s="9" t="str">
        <x:v>пн</x:v>
      </x:c>
      <x:c r="C285" s="9" t="n">
        <x:v>46</x:v>
      </x:c>
      <x:c r="D285" s="11" t="n">
        <x:v>5</x:v>
      </x:c>
      <x:c r="E285" s="9" t="str">
        <x:v>Лёгкий бег до 5 км на RPE 2–3. Сократить дистанцию при ограничениях дня или ухудшении состояния.</x:v>
      </x:c>
      <x:c r="F285" s="9"/>
      <x:c r="G285" s="12"/>
      <x:c r="H285" s="13"/>
      <x:c r="I285" s="12"/>
      <x:c r="J285" s="12"/>
      <x:c r="K285" s="12"/>
      <x:c r="L285" s="12"/>
      <x:c r="M285" s="12"/>
      <x:c r="N285" s="12"/>
      <x:c r="O285" s="12"/>
      <x:c r="P285" s="12"/>
    </x:row>
    <x:row r="286" ht="44" customHeight="1">
      <x:c r="A286" s="10" t="d">
        <x:v>2027-07-13T00:00:00.000Z</x:v>
      </x:c>
      <x:c r="B286" s="9" t="str">
        <x:v>вт</x:v>
      </x:c>
      <x:c r="C286" s="9" t="n">
        <x:v>46</x:v>
      </x:c>
      <x:c r="D286" s="11" t="n">
        <x:v>8</x:v>
      </x:c>
      <x:c r="E286" s="9" t="str">
        <x:v>Лёгкий бег до 8 км на RPE 2–3. Сократить дистанцию при ограничениях дня или ухудшении состояния.</x:v>
      </x:c>
      <x:c r="F286" s="9"/>
      <x:c r="G286" s="12"/>
      <x:c r="H286" s="13"/>
      <x:c r="I286" s="12"/>
      <x:c r="J286" s="12"/>
      <x:c r="K286" s="12"/>
      <x:c r="L286" s="12"/>
      <x:c r="M286" s="12"/>
      <x:c r="N286" s="12"/>
      <x:c r="O286" s="12"/>
      <x:c r="P286" s="12"/>
    </x:row>
    <x:row r="287" ht="44" customHeight="1">
      <x:c r="A287" s="10" t="d">
        <x:v>2027-07-14T00:00:00.000Z</x:v>
      </x:c>
      <x:c r="B287" s="9" t="str">
        <x:v>ср</x:v>
      </x:c>
      <x:c r="C287" s="9" t="n">
        <x:v>46</x:v>
      </x:c>
      <x:c r="D287" s="11" t="n">
        <x:v>5</x:v>
      </x:c>
      <x:c r="E287" s="9" t="str">
        <x:v>Лёгкий бег до 5 км на RPE 2–3. Сократить дистанцию при ограничениях дня или ухудшении состояния.</x:v>
      </x:c>
      <x:c r="F287" s="9" t="str">
        <x:v>S2: бэнд 2×10, короткая стопа 2×5×5с, баланс 2×30с, dead bug 2×8; только поддержание</x:v>
      </x:c>
      <x:c r="G287" s="12"/>
      <x:c r="H287" s="13"/>
      <x:c r="I287" s="12"/>
      <x:c r="J287" s="12"/>
      <x:c r="K287" s="12"/>
      <x:c r="L287" s="12"/>
      <x:c r="M287" s="12"/>
      <x:c r="N287" s="12"/>
      <x:c r="O287" s="12"/>
      <x:c r="P287" s="12"/>
    </x:row>
    <x:row r="288" ht="44" customHeight="1">
      <x:c r="A288" s="10" t="d">
        <x:v>2027-07-15T00:00:00.000Z</x:v>
      </x:c>
      <x:c r="B288" s="9" t="str">
        <x:v>чт</x:v>
      </x:c>
      <x:c r="C288" s="9" t="n">
        <x:v>46</x:v>
      </x:c>
      <x:c r="D288" s="11" t="n">
        <x:v>0</x:v>
      </x:c>
      <x:c r="E288" s="9" t="str">
        <x:v>Отдых от бега. Оценить восстановление и реакцию колена; пропущенные километры не догонять.</x:v>
      </x:c>
      <x:c r="F288" s="9" t="str">
        <x:v>S1: присед/сплит 1–2×8–12, мост 1–2×12–15, икры 1–2×12–20, тяга 1–2×10–15, боковая планка 1–2×20–40с; только поддержание</x:v>
      </x:c>
      <x:c r="G288" s="12"/>
      <x:c r="H288" s="13"/>
      <x:c r="I288" s="12"/>
      <x:c r="J288" s="12"/>
      <x:c r="K288" s="12"/>
      <x:c r="L288" s="12"/>
      <x:c r="M288" s="12"/>
      <x:c r="N288" s="12"/>
      <x:c r="O288" s="12"/>
      <x:c r="P288" s="12"/>
    </x:row>
    <x:row r="289" ht="46" customHeight="1">
      <x:c r="A289" s="10" t="d">
        <x:v>2027-07-16T00:00:00.000Z</x:v>
      </x:c>
      <x:c r="B289" s="9" t="str">
        <x:v>пт</x:v>
      </x:c>
      <x:c r="C289" s="9" t="n">
        <x:v>46</x:v>
      </x:c>
      <x:c r="D289" s="11" t="n">
        <x:v>0</x:v>
      </x:c>
      <x:c r="E289" s="9" t="str">
        <x:v>Лёгкий доступный велосипед или другая безударная работа вместо бега на RPE 2–3. При усталости отдых. Не добавлять её поверх беговой задачи.</x:v>
      </x:c>
      <x:c r="F289" s="9"/>
      <x:c r="G289" s="12"/>
      <x:c r="H289" s="13"/>
      <x:c r="I289" s="12"/>
      <x:c r="J289" s="12"/>
      <x:c r="K289" s="12"/>
      <x:c r="L289" s="12"/>
      <x:c r="M289" s="12"/>
      <x:c r="N289" s="12"/>
      <x:c r="O289" s="12"/>
      <x:c r="P289" s="12"/>
    </x:row>
    <x:row r="290" ht="44" customHeight="1">
      <x:c r="A290" s="10" t="d">
        <x:v>2027-07-17T00:00:00.000Z</x:v>
      </x:c>
      <x:c r="B290" s="9" t="str">
        <x:v>сб</x:v>
      </x:c>
      <x:c r="C290" s="9" t="n">
        <x:v>46</x:v>
      </x:c>
      <x:c r="D290" s="11" t="n">
        <x:v>10</x:v>
      </x:c>
      <x:c r="E290" s="9" t="str">
        <x:v>Лёгкий бег до 10 км на RPE 2. Сохранить силы для воскресенья.</x:v>
      </x:c>
      <x:c r="F290" s="9"/>
      <x:c r="G290" s="12"/>
      <x:c r="H290" s="13"/>
      <x:c r="I290" s="12"/>
      <x:c r="J290" s="12"/>
      <x:c r="K290" s="12"/>
      <x:c r="L290" s="12"/>
      <x:c r="M290" s="12"/>
      <x:c r="N290" s="12"/>
      <x:c r="O290" s="12"/>
      <x:c r="P290" s="12"/>
    </x:row>
    <x:row r="291" ht="44" customHeight="1">
      <x:c r="A291" s="10" t="d">
        <x:v>2027-07-18T00:00:00.000Z</x:v>
      </x:c>
      <x:c r="B291" s="9" t="str">
        <x:v>вс</x:v>
      </x:c>
      <x:c r="C291" s="9" t="n">
        <x:v>46</x:v>
      </x:c>
      <x:c r="D291" s="11" t="n">
        <x:v>18</x:v>
      </x:c>
      <x:c r="E291" s="9" t="str">
        <x:v>Длительная до 18 км на RPE 2–3. Использовать проверенное чередование бега и ходьбы; заранее подготовить воду питание и выход с маршрута.</x:v>
      </x:c>
      <x:c r="F291" s="9"/>
      <x:c r="G291" s="12"/>
      <x:c r="H291" s="13"/>
      <x:c r="I291" s="12"/>
      <x:c r="J291" s="12"/>
      <x:c r="K291" s="12"/>
      <x:c r="L291" s="12"/>
      <x:c r="M291" s="12"/>
      <x:c r="N291" s="12"/>
      <x:c r="O291" s="12"/>
      <x:c r="P291" s="12"/>
    </x:row>
    <x:row r="292" ht="46" customHeight="1">
      <x:c r="A292" s="10" t="d">
        <x:v>2027-07-19T00:00:00.000Z</x:v>
      </x:c>
      <x:c r="B292" s="9" t="str">
        <x:v>пн</x:v>
      </x:c>
      <x:c r="C292" s="9" t="n">
        <x:v>47</x:v>
      </x:c>
      <x:c r="D292" s="11" t="n">
        <x:v>4</x:v>
      </x:c>
      <x:c r="E292" s="9" t="str">
        <x:v>Лёгкий бег до 4 км на RPE 2–3. Сократить дистанцию при ограничениях дня или ухудшении состояния. Знакомство с теплом заменяет часть обычной работы и допускается только при безопасных условиях.</x:v>
      </x:c>
      <x:c r="F292" s="9"/>
      <x:c r="G292" s="12"/>
      <x:c r="H292" s="13"/>
      <x:c r="I292" s="12"/>
      <x:c r="J292" s="12"/>
      <x:c r="K292" s="12"/>
      <x:c r="L292" s="12"/>
      <x:c r="M292" s="12"/>
      <x:c r="N292" s="12"/>
      <x:c r="O292" s="12"/>
      <x:c r="P292" s="12"/>
    </x:row>
    <x:row r="293" ht="44" customHeight="1">
      <x:c r="A293" s="10" t="d">
        <x:v>2027-07-20T00:00:00.000Z</x:v>
      </x:c>
      <x:c r="B293" s="9" t="str">
        <x:v>вт</x:v>
      </x:c>
      <x:c r="C293" s="9" t="n">
        <x:v>47</x:v>
      </x:c>
      <x:c r="D293" s="11" t="n">
        <x:v>6</x:v>
      </x:c>
      <x:c r="E293" s="9" t="str">
        <x:v>Лёгкий бег до 6 км на RPE 2–3. Сократить дистанцию при ограничениях дня или ухудшении состояния.</x:v>
      </x:c>
      <x:c r="F293" s="9"/>
      <x:c r="G293" s="12"/>
      <x:c r="H293" s="13"/>
      <x:c r="I293" s="12"/>
      <x:c r="J293" s="12"/>
      <x:c r="K293" s="12"/>
      <x:c r="L293" s="12"/>
      <x:c r="M293" s="12"/>
      <x:c r="N293" s="12"/>
      <x:c r="O293" s="12"/>
      <x:c r="P293" s="12"/>
    </x:row>
    <x:row r="294" ht="46" customHeight="1">
      <x:c r="A294" s="10" t="d">
        <x:v>2027-07-21T00:00:00.000Z</x:v>
      </x:c>
      <x:c r="B294" s="9" t="str">
        <x:v>ср</x:v>
      </x:c>
      <x:c r="C294" s="9" t="n">
        <x:v>47</x:v>
      </x:c>
      <x:c r="D294" s="11" t="n">
        <x:v>4</x:v>
      </x:c>
      <x:c r="E294" s="9" t="str">
        <x:v>Лёгкий бег до 4 км на RPE 2–3. Сократить дистанцию при ограничениях дня или ухудшении состояния. Знакомство с теплом заменяет часть обычной работы и допускается только при безопасных условиях.</x:v>
      </x:c>
      <x:c r="F294" s="9" t="str">
        <x:v>S2: бэнд 2×10, короткая стопа 2×5×5с, баланс 2×30с, dead bug 2×8; только поддержание</x:v>
      </x:c>
      <x:c r="G294" s="12"/>
      <x:c r="H294" s="13"/>
      <x:c r="I294" s="12"/>
      <x:c r="J294" s="12"/>
      <x:c r="K294" s="12"/>
      <x:c r="L294" s="12"/>
      <x:c r="M294" s="12"/>
      <x:c r="N294" s="12"/>
      <x:c r="O294" s="12"/>
      <x:c r="P294" s="12"/>
    </x:row>
    <x:row r="295" ht="44" customHeight="1">
      <x:c r="A295" s="10" t="d">
        <x:v>2027-07-22T00:00:00.000Z</x:v>
      </x:c>
      <x:c r="B295" s="9" t="str">
        <x:v>чт</x:v>
      </x:c>
      <x:c r="C295" s="9" t="n">
        <x:v>47</x:v>
      </x:c>
      <x:c r="D295" s="11" t="n">
        <x:v>0</x:v>
      </x:c>
      <x:c r="E295" s="9" t="str">
        <x:v>Отдых от бега. Оценить восстановление и реакцию колена; пропущенные километры не догонять.</x:v>
      </x:c>
      <x:c r="F295" s="9" t="str">
        <x:v>S1: присед/сплит 1–2×8–12, мост 1–2×12–15, икры 1–2×12–20, тяга 1–2×10–15, боковая планка 1–2×20–40с; только поддержание</x:v>
      </x:c>
      <x:c r="G295" s="12"/>
      <x:c r="H295" s="13"/>
      <x:c r="I295" s="12"/>
      <x:c r="J295" s="12"/>
      <x:c r="K295" s="12"/>
      <x:c r="L295" s="12"/>
      <x:c r="M295" s="12"/>
      <x:c r="N295" s="12"/>
      <x:c r="O295" s="12"/>
      <x:c r="P295" s="12"/>
    </x:row>
    <x:row r="296" ht="44" customHeight="1">
      <x:c r="A296" s="10" t="d">
        <x:v>2027-07-23T00:00:00.000Z</x:v>
      </x:c>
      <x:c r="B296" s="9" t="str">
        <x:v>пт</x:v>
      </x:c>
      <x:c r="C296" s="9" t="n">
        <x:v>47</x:v>
      </x:c>
      <x:c r="D296" s="11" t="n">
        <x:v>0</x:v>
      </x:c>
      <x:c r="E296" s="9" t="str">
        <x:v>Отдых от бега. Оценить восстановление и реакцию колена; пропущенные километры не догонять.</x:v>
      </x:c>
      <x:c r="F296" s="9"/>
      <x:c r="G296" s="12"/>
      <x:c r="H296" s="13"/>
      <x:c r="I296" s="12"/>
      <x:c r="J296" s="12"/>
      <x:c r="K296" s="12"/>
      <x:c r="L296" s="12"/>
      <x:c r="M296" s="12"/>
      <x:c r="N296" s="12"/>
      <x:c r="O296" s="12"/>
      <x:c r="P296" s="12"/>
    </x:row>
    <x:row r="297" ht="44" customHeight="1">
      <x:c r="A297" s="10" t="d">
        <x:v>2027-07-24T00:00:00.000Z</x:v>
      </x:c>
      <x:c r="B297" s="9" t="str">
        <x:v>сб</x:v>
      </x:c>
      <x:c r="C297" s="9" t="n">
        <x:v>47</x:v>
      </x:c>
      <x:c r="D297" s="11" t="n">
        <x:v>6</x:v>
      </x:c>
      <x:c r="E297" s="9" t="str">
        <x:v>Лёгкий бег до 6 км на RPE 2. Сохранить силы для воскресенья.</x:v>
      </x:c>
      <x:c r="F297" s="9"/>
      <x:c r="G297" s="12"/>
      <x:c r="H297" s="13"/>
      <x:c r="I297" s="12"/>
      <x:c r="J297" s="12"/>
      <x:c r="K297" s="12"/>
      <x:c r="L297" s="12"/>
      <x:c r="M297" s="12"/>
      <x:c r="N297" s="12"/>
      <x:c r="O297" s="12"/>
      <x:c r="P297" s="12"/>
    </x:row>
    <x:row r="298" ht="58" customHeight="1">
      <x:c r="A298" s="10" t="d">
        <x:v>2027-07-25T00:00:00.000Z</x:v>
      </x:c>
      <x:c r="B298" s="9" t="str">
        <x:v>вс</x:v>
      </x:c>
      <x:c r="C298" s="9" t="n">
        <x:v>47</x:v>
      </x:c>
      <x:c r="D298" s="11" t="n">
        <x:v>12</x:v>
      </x:c>
      <x:c r="E298" s="9" t="str">
        <x:v>Длительная до 12 км на RPE 2–3. Использовать проверенное чередование бега и ходьбы; заранее подготовить воду питание и выход с маршрута. Знакомство с теплом заменяет часть обычной работы и допускается только при безопасных условиях.</x:v>
      </x:c>
      <x:c r="F298" s="9"/>
      <x:c r="G298" s="12"/>
      <x:c r="H298" s="13"/>
      <x:c r="I298" s="12"/>
      <x:c r="J298" s="12"/>
      <x:c r="K298" s="12"/>
      <x:c r="L298" s="12"/>
      <x:c r="M298" s="12"/>
      <x:c r="N298" s="12"/>
      <x:c r="O298" s="12"/>
      <x:c r="P298" s="12"/>
    </x:row>
    <x:row r="299" ht="44" customHeight="1">
      <x:c r="A299" s="10" t="d">
        <x:v>2027-07-26T00:00:00.000Z</x:v>
      </x:c>
      <x:c r="B299" s="9" t="str">
        <x:v>пн</x:v>
      </x:c>
      <x:c r="C299" s="9" t="n">
        <x:v>48</x:v>
      </x:c>
      <x:c r="D299" s="11" t="n">
        <x:v>4</x:v>
      </x:c>
      <x:c r="E299" s="9" t="str">
        <x:v>Лёгкий бег до 4 км на RPE 2–3. Сократить дистанцию при ограничениях дня или ухудшении состояния.</x:v>
      </x:c>
      <x:c r="F299" s="9"/>
      <x:c r="G299" s="12"/>
      <x:c r="H299" s="13"/>
      <x:c r="I299" s="12"/>
      <x:c r="J299" s="12"/>
      <x:c r="K299" s="12"/>
      <x:c r="L299" s="12"/>
      <x:c r="M299" s="12"/>
      <x:c r="N299" s="12"/>
      <x:c r="O299" s="12"/>
      <x:c r="P299" s="12"/>
    </x:row>
    <x:row r="300" ht="46" customHeight="1">
      <x:c r="A300" s="10" t="d">
        <x:v>2027-07-27T00:00:00.000Z</x:v>
      </x:c>
      <x:c r="B300" s="9" t="str">
        <x:v>вт</x:v>
      </x:c>
      <x:c r="C300" s="9" t="n">
        <x:v>48</x:v>
      </x:c>
      <x:c r="D300" s="11" t="n">
        <x:v>5</x:v>
      </x:c>
      <x:c r="E300" s="9" t="str">
        <x:v>Лёгкий бег до 5 км на RPE 2–3. Сократить дистанцию при ограничениях дня или ухудшении состояния. Знакомство с теплом заменяет часть обычной работы и допускается только при безопасных условиях.</x:v>
      </x:c>
      <x:c r="F300" s="9"/>
      <x:c r="G300" s="12"/>
      <x:c r="H300" s="13"/>
      <x:c r="I300" s="12"/>
      <x:c r="J300" s="12"/>
      <x:c r="K300" s="12"/>
      <x:c r="L300" s="12"/>
      <x:c r="M300" s="12"/>
      <x:c r="N300" s="12"/>
      <x:c r="O300" s="12"/>
      <x:c r="P300" s="12"/>
    </x:row>
    <x:row r="301" ht="44" customHeight="1">
      <x:c r="A301" s="10" t="d">
        <x:v>2027-07-28T00:00:00.000Z</x:v>
      </x:c>
      <x:c r="B301" s="9" t="str">
        <x:v>ср</x:v>
      </x:c>
      <x:c r="C301" s="9" t="n">
        <x:v>48</x:v>
      </x:c>
      <x:c r="D301" s="11" t="n">
        <x:v>4</x:v>
      </x:c>
      <x:c r="E301" s="9" t="str">
        <x:v>Лёгкий бег до 4 км на RPE 2–3. Сократить дистанцию при ограничениях дня или ухудшении состояния.</x:v>
      </x:c>
      <x:c r="F301" s="9" t="str">
        <x:v>S2: только привычная лёгкая активация; при усталости отмена. Полный комплекс не добавляется.</x:v>
      </x:c>
      <x:c r="G301" s="12"/>
      <x:c r="H301" s="13"/>
      <x:c r="I301" s="12"/>
      <x:c r="J301" s="12"/>
      <x:c r="K301" s="12"/>
      <x:c r="L301" s="12"/>
      <x:c r="M301" s="12"/>
      <x:c r="N301" s="12"/>
      <x:c r="O301" s="12"/>
      <x:c r="P301" s="12"/>
    </x:row>
    <x:row r="302" ht="44" customHeight="1">
      <x:c r="A302" s="10" t="d">
        <x:v>2027-07-29T00:00:00.000Z</x:v>
      </x:c>
      <x:c r="B302" s="9" t="str">
        <x:v>чт</x:v>
      </x:c>
      <x:c r="C302" s="9" t="n">
        <x:v>48</x:v>
      </x:c>
      <x:c r="D302" s="11" t="n">
        <x:v>0</x:v>
      </x:c>
      <x:c r="E302" s="9" t="str">
        <x:v>Отдых от бега. Оценить восстановление и реакцию колена; пропущенные километры не догонять.</x:v>
      </x:c>
      <x:c r="F302" s="9" t="str">
        <x:v>S1: только привычная лёгкая активация; при усталости отмена. Полный комплекс не добавляется.</x:v>
      </x:c>
      <x:c r="G302" s="12"/>
      <x:c r="H302" s="13"/>
      <x:c r="I302" s="12"/>
      <x:c r="J302" s="12"/>
      <x:c r="K302" s="12"/>
      <x:c r="L302" s="12"/>
      <x:c r="M302" s="12"/>
      <x:c r="N302" s="12"/>
      <x:c r="O302" s="12"/>
      <x:c r="P302" s="12"/>
    </x:row>
    <x:row r="303" ht="44" customHeight="1">
      <x:c r="A303" s="10" t="d">
        <x:v>2027-07-30T00:00:00.000Z</x:v>
      </x:c>
      <x:c r="B303" s="9" t="str">
        <x:v>пт</x:v>
      </x:c>
      <x:c r="C303" s="9" t="n">
        <x:v>48</x:v>
      </x:c>
      <x:c r="D303" s="11" t="n">
        <x:v>5</x:v>
      </x:c>
      <x:c r="E303" s="9" t="str">
        <x:v>Лёгкий бег до 5 км на RPE 2–3. Сократить дистанцию при ограничениях дня или ухудшении состояния.</x:v>
      </x:c>
      <x:c r="F303" s="9"/>
      <x:c r="G303" s="12"/>
      <x:c r="H303" s="13"/>
      <x:c r="I303" s="12"/>
      <x:c r="J303" s="12"/>
      <x:c r="K303" s="12"/>
      <x:c r="L303" s="12"/>
      <x:c r="M303" s="12"/>
      <x:c r="N303" s="12"/>
      <x:c r="O303" s="12"/>
      <x:c r="P303" s="12"/>
    </x:row>
    <x:row r="304" ht="44" customHeight="1">
      <x:c r="A304" s="10" t="d">
        <x:v>2027-07-31T00:00:00.000Z</x:v>
      </x:c>
      <x:c r="B304" s="9" t="str">
        <x:v>сб</x:v>
      </x:c>
      <x:c r="C304" s="9" t="n">
        <x:v>48</x:v>
      </x:c>
      <x:c r="D304" s="11" t="n">
        <x:v>0</x:v>
      </x:c>
      <x:c r="E304" s="9" t="str">
        <x:v>Отдых от бега. Оценить восстановление и реакцию колена; пропущенные километры не догонять.</x:v>
      </x:c>
      <x:c r="F304" s="9"/>
      <x:c r="G304" s="12"/>
      <x:c r="H304" s="13"/>
      <x:c r="I304" s="12"/>
      <x:c r="J304" s="12"/>
      <x:c r="K304" s="12"/>
      <x:c r="L304" s="12"/>
      <x:c r="M304" s="12"/>
      <x:c r="N304" s="12"/>
      <x:c r="O304" s="12"/>
      <x:c r="P304" s="12"/>
    </x:row>
    <x:row r="305" ht="44" customHeight="1">
      <x:c r="A305" s="10" t="d">
        <x:v>2027-08-01T00:00:00.000Z</x:v>
      </x:c>
      <x:c r="B305" s="9" t="str">
        <x:v>вс</x:v>
      </x:c>
      <x:c r="C305" s="9" t="n">
        <x:v>48</x:v>
      </x:c>
      <x:c r="D305" s="11" t="n">
        <x:v>0</x:v>
      </x:c>
      <x:c r="E305" s="9" t="str">
        <x:v>Отдых от бега. Оценить восстановление и реакцию колена; пропущенные километры не догонять.</x:v>
      </x:c>
      <x:c r="F305" s="9"/>
      <x:c r="G305" s="12"/>
      <x:c r="H305" s="13"/>
      <x:c r="I305" s="12"/>
      <x:c r="J305" s="12"/>
      <x:c r="K305" s="12"/>
      <x:c r="L305" s="12"/>
      <x:c r="M305" s="12"/>
      <x:c r="N305" s="12"/>
      <x:c r="O305" s="12"/>
      <x:c r="P305" s="12"/>
    </x:row>
    <x:row r="306" ht="46" customHeight="1">
      <x:c r="A306" s="10" t="d">
        <x:v>2027-08-02T00:00:00.000Z</x:v>
      </x:c>
      <x:c r="B306" s="9" t="str">
        <x:v>пн</x:v>
      </x:c>
      <x:c r="C306" s="9" t="n">
        <x:v>49</x:v>
      </x:c>
      <x:c r="D306" s="11" t="n">
        <x:v>100</x:v>
      </x:c>
      <x:c r="E306" s="9" t="str">
        <x:v>Контрольные до 100 км только при выполненных допусках и безопасном прохождении в светлую часть дня. Вода еда выход с маршрута и связь подготовлены. При невыполнимой логистике дистанцию сократить.</x:v>
      </x:c>
      <x:c r="F306" s="9"/>
      <x:c r="G306" s="12"/>
      <x:c r="H306" s="13"/>
      <x:c r="I306" s="12"/>
      <x:c r="J306" s="12"/>
      <x:c r="K306" s="12"/>
      <x:c r="L306" s="12"/>
      <x:c r="M306" s="12"/>
      <x:c r="N306" s="12"/>
      <x:c r="O306" s="12"/>
      <x:c r="P306" s="12"/>
    </x:row>
    <x:row r="307" ht="44" customHeight="1">
      <x:c r="A307" s="10" t="d">
        <x:v>2027-08-03T00:00:00.000Z</x:v>
      </x:c>
      <x:c r="B307" s="9" t="str">
        <x:v>вт</x:v>
      </x:c>
      <x:c r="C307" s="9" t="n">
        <x:v>49</x:v>
      </x:c>
      <x:c r="D307" s="11" t="n">
        <x:v>0</x:v>
      </x:c>
      <x:c r="E307" s="9" t="str">
        <x:v>Отдых от бега. Оценить восстановление и реакцию колена; пропущенные километры не догонять.</x:v>
      </x:c>
      <x:c r="F307" s="9"/>
      <x:c r="G307" s="12"/>
      <x:c r="H307" s="13"/>
      <x:c r="I307" s="12"/>
      <x:c r="J307" s="12"/>
      <x:c r="K307" s="12"/>
      <x:c r="L307" s="12"/>
      <x:c r="M307" s="12"/>
      <x:c r="N307" s="12"/>
      <x:c r="O307" s="12"/>
      <x:c r="P307" s="12"/>
    </x:row>
  </x:sheetData>
  <x:dataValidations count="7">
    <x:dataValidation type="list" sqref="G5:G307">
      <x:formula1>"выполнено,частично,перенос,отмена"</x:formula1>
    </x:dataValidation>
    <x:dataValidation type="list" sqref="P5:P307">
      <x:formula1>"выполнено,частично,перенос,отмена"</x:formula1>
    </x:dataValidation>
    <x:dataValidation type="whole" operator="between" sqref="I5:I307">
      <x:formula1>0</x:formula1>
      <x:formula2>10</x:formula2>
    </x:dataValidation>
    <x:dataValidation type="whole" operator="between" sqref="J5:J307">
      <x:formula1>0</x:formula1>
      <x:formula2>10</x:formula2>
    </x:dataValidation>
    <x:dataValidation type="whole" operator="between" sqref="K5:K307">
      <x:formula1>0</x:formula1>
      <x:formula2>10</x:formula2>
    </x:dataValidation>
    <x:dataValidation type="whole" operator="between" sqref="L5:L307">
      <x:formula1>0</x:formula1>
      <x:formula2>10</x:formula2>
    </x:dataValidation>
    <x:dataValidation type="list" sqref="M5:M307">
      <x:formula1>"нет,да"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423a3f10a9c74677"/>
  </x:tableParts>
</x:worksheet>
</file>

<file path=xl/worksheets/sheet3.xml><?xml version="1.0" encoding="utf-8"?>
<x:worksheet xmlns:x="http://schemas.openxmlformats.org/spreadsheetml/2006/main">
  <x:sheetViews>
    <x:sheetView showGridLines="0" workbookViewId="0">
      <x:pane xSplit="3" ySplit="4" topLeftCell="D5" activePane="bottomRight" state="frozen"/>
    </x:sheetView>
  </x:sheetViews>
  <x:sheetFormatPr defaultRowHeight="15"/>
  <x:cols>
    <x:col min="1" max="1" width="13" hidden="0" customWidth="1"/>
    <x:col min="2" max="2" width="7" hidden="0" customWidth="1"/>
    <x:col min="3" max="3" width="9" hidden="0" customWidth="1"/>
    <x:col min="4" max="4" width="17" hidden="0" customWidth="1"/>
    <x:col min="5" max="5" width="56" hidden="0" customWidth="1"/>
    <x:col min="6" max="6" width="72" hidden="0" customWidth="1"/>
    <x:col min="7" max="7" width="90" hidden="0" customWidth="1"/>
    <x:col min="8" max="8" width="48" hidden="0" customWidth="1"/>
    <x:col min="9" max="9" width="48" hidden="0" customWidth="1"/>
    <x:col min="10" max="10" width="62" hidden="0" customWidth="1"/>
    <x:col min="11" max="11" width="62" hidden="0" customWidth="1"/>
    <x:col min="12" max="12" width="63" hidden="0" customWidth="1"/>
    <x:col min="13" max="13" width="16" hidden="0" customWidth="1"/>
    <x:col min="14" max="14" width="48" hidden="0" customWidth="1"/>
    <x:col min="15" max="15" width="58" hidden="0" customWidth="1"/>
    <x:col min="16" max="16" width="13" hidden="0" customWidth="1"/>
    <x:col min="17" max="17" width="18" hidden="0" customWidth="1"/>
    <x:col min="18" max="18" width="14" hidden="0" customWidth="1"/>
    <x:col min="19" max="19" width="14" hidden="0" customWidth="1"/>
    <x:col min="20" max="20" width="14" hidden="0" customWidth="1"/>
  </x:cols>
  <x:sheetData>
    <x:row r="1">
      <x:c r="A1" s="1"/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  <x:c r="M1" s="1"/>
      <x:c r="N1" s="1"/>
      <x:c r="O1" s="1"/>
      <x:c r="P1" s="1"/>
      <x:c r="Q1" s="1"/>
      <x:c r="R1" s="1"/>
      <x:c r="S1" s="1"/>
      <x:c r="T1" s="1"/>
    </x:row>
    <x:row r="2">
      <x:c r="A2" s="2" t="str">
        <x:v>Ежедневные задачи Red Team версия 13. Один основной шаг или одна замена блока. VM и binary-контроль отмечаются раздельно; подсказки записывай в поле факта.</x:v>
      </x:c>
      <x:c r="B2" s="1"/>
      <x:c r="C2" s="1"/>
      <x:c r="D2" s="1"/>
      <x:c r="E2" s="1"/>
      <x:c r="F2" s="1"/>
      <x:c r="G2" s="1"/>
      <x:c r="H2" s="1"/>
      <x:c r="I2" s="1"/>
      <x:c r="J2" s="1"/>
      <x:c r="K2" s="1"/>
      <x:c r="L2" s="1"/>
      <x:c r="M2" s="1"/>
      <x:c r="N2" s="1"/>
      <x:c r="O2" s="1"/>
      <x:c r="P2" s="1"/>
      <x:c r="Q2" s="1"/>
      <x:c r="R2" s="1"/>
      <x:c r="S2" s="1"/>
      <x:c r="T2" s="1"/>
    </x:row>
    <x:row r="3">
      <x:c r="A3" s="1"/>
      <x:c r="B3" s="1"/>
      <x:c r="C3" s="1"/>
      <x:c r="D3" s="1"/>
      <x:c r="E3" s="1"/>
      <x:c r="F3" s="1"/>
      <x:c r="G3" s="1"/>
      <x:c r="H3" s="1"/>
      <x:c r="I3" s="1"/>
      <x:c r="J3" s="1"/>
      <x:c r="K3" s="1"/>
      <x:c r="L3" s="1"/>
      <x:c r="M3" s="1"/>
      <x:c r="N3" s="1"/>
      <x:c r="O3" s="1"/>
      <x:c r="P3" s="1"/>
      <x:c r="Q3" s="1"/>
      <x:c r="R3" s="1"/>
      <x:c r="S3" s="1"/>
      <x:c r="T3" s="1"/>
    </x:row>
    <x:row r="4" ht="42" customHeight="1">
      <x:c r="A4" s="7" t="str">
        <x:v>Дата</x:v>
      </x:c>
      <x:c r="B4" s="7" t="str">
        <x:v>День</x:v>
      </x:c>
      <x:c r="C4" s="7" t="str">
        <x:v>Неделя</x:v>
      </x:c>
      <x:c r="D4" s="7" t="str">
        <x:v>Режим</x:v>
      </x:c>
      <x:c r="E4" s="7" t="str">
        <x:v>Расширенная тема</x:v>
      </x:c>
      <x:c r="F4" s="7" t="str">
        <x:v>Что изучать</x:v>
      </x:c>
      <x:c r="G4" s="7" t="str">
        <x:v>Что сделать</x:v>
      </x:c>
      <x:c r="H4" s="7" t="str">
        <x:v>Инструменты</x:v>
      </x:c>
      <x:c r="I4" s="7" t="str">
        <x:v>Читать</x:v>
      </x:c>
      <x:c r="J4" s="7" t="str">
        <x:v>Входные условия</x:v>
      </x:c>
      <x:c r="K4" s="7" t="str">
        <x:v>Контрольный вопрос</x:v>
      </x:c>
      <x:c r="L4" s="7" t="str">
        <x:v>Плановый результат</x:v>
      </x:c>
      <x:c r="M4" s="7" t="str">
        <x:v>Статус</x:v>
      </x:c>
      <x:c r="N4" s="7" t="str">
        <x:v>Факт или ссылка</x:v>
      </x:c>
      <x:c r="O4" s="7" t="str">
        <x:v>Первый незавершённый шаг</x:v>
      </x:c>
      <x:c r="P4" s="7" t="str">
        <x:v>Новая дата</x:v>
      </x:c>
      <x:c r="Q4" s="7" t="str">
        <x:v>Код материала</x:v>
      </x:c>
      <x:c r="R4" s="7" t="str">
        <x:v>Повтор плюс 1</x:v>
      </x:c>
      <x:c r="S4" s="7" t="str">
        <x:v>Повтор плюс 7</x:v>
      </x:c>
      <x:c r="T4" s="7" t="str">
        <x:v>Повтор плюс 28</x:v>
      </x:c>
    </x:row>
    <x:row r="5" ht="64" hidden="0" customHeight="1">
      <x:c r="A5" s="10" t="d">
        <x:v>2026-10-05T00:00:00.000Z</x:v>
      </x:c>
      <x:c r="B5" s="9" t="str">
        <x:v>пн</x:v>
      </x:c>
      <x:c r="C5" s="9" t="n">
        <x:v>6</x:v>
      </x:c>
      <x:c r="D5" s="9" t="str">
        <x:v>изучение</x:v>
      </x:c>
      <x:c r="E5" s="9" t="str">
        <x:v>Строки и байты в Python и кодировка UTF-8</x:v>
      </x:c>
      <x:c r="F5" s="9" t="str">
        <x:v>Разобрать: Unicode; типы str и bytes; encode/decode; длина текста и байтов.</x:v>
      </x:c>
      <x:c r="G5" s="9" t="str">
        <x:v>Python: прочитай свой UTF-8 файл, сравни len текста и байтов, выполни encode/decode. Сохрани оба размера.</x:v>
      </x:c>
      <x:c r="H5" s="9" t="str">
        <x:v>Python, C, локальные файлы</x:v>
      </x:c>
      <x:c r="I5" s="9" t="str">
        <x:v>RU01 METANIT Python — Строки и бинарные файлы
https://metanit.com/python/tutorial/
RU29 Андрей Коновалов CTF на Физтехе — 02-crypto: Unicode UTF-8 и Base64
https://github.com/xairy/mipt-ctf</x:v>
      </x:c>
      <x:c r="J5" s="9" t="str">
        <x:v>Подтверждён предыдущий механизм; действуют условия темы и разрешённой лаборатории.</x:v>
      </x:c>
      <x:c r="K5" s="9" t="str">
        <x:v>Почему длина строки «ёж» отличается от длины UTF-8 bytes?</x:v>
      </x:c>
      <x:c r="L5" s="9" t="str">
        <x:v>2026-10-05_note.md: вход, ожидание, факт, вывод, контроль</x:v>
      </x:c>
      <x:c r="M5" s="12"/>
      <x:c r="N5" s="12"/>
      <x:c r="O5" s="12"/>
      <x:c r="P5" s="14"/>
      <x:c r="Q5" s="9" t="str">
        <x:v>RU01 RU29</x:v>
      </x:c>
      <x:c r="R5" s="10" t="d">
        <x:v>2026-10-06T00:00:00.000Z</x:v>
      </x:c>
      <x:c r="S5" s="10" t="d">
        <x:v>2026-10-12T00:00:00.000Z</x:v>
      </x:c>
      <x:c r="T5" s="10" t="d">
        <x:v>2026-11-02T00:00:00.000Z</x:v>
      </x:c>
    </x:row>
    <x:row r="6" ht="28" hidden="0" customHeight="1">
      <x:c r="A6" s="10" t="d">
        <x:v>2026-10-06T00:00:00.000Z</x:v>
      </x:c>
      <x:c r="B6" s="9" t="str">
        <x:v>вт</x:v>
      </x:c>
      <x:c r="C6" s="9" t="n">
        <x:v>6</x:v>
      </x:c>
      <x:c r="D6" s="9" t="str">
        <x:v>изучение</x:v>
      </x:c>
      <x:c r="E6" s="9" t="str">
        <x:v>Разбор записи имя и порт с проверкой входа</x:v>
      </x:c>
      <x:c r="F6" s="9" t="str">
        <x:v>Разобрать: Разделитель двоеточие; преобразование строки в число; диапазон 1–65535; ошибки формата и диапазона.</x:v>
      </x:c>
      <x:c r="G6" s="9" t="str">
        <x:v>Напиши parse_service. Проверь ssh:22, web:443, пустой ввод, missing, bad:0, bad:65536. Запиши успехи и причины отказа.</x:v>
      </x:c>
      <x:c r="H6" s="9" t="str">
        <x:v>Python, C, локальные файлы</x:v>
      </x:c>
      <x:c r="I6" s="9" t="str">
        <x:v>RU01 METANIT Python — Функции; исключения; файлы; модули
https://metanit.com/python/tutorial/</x:v>
      </x:c>
      <x:c r="J6" s="9" t="str">
        <x:v>Подтверждён предыдущий механизм; действуют условия темы и разрешённой лаборатории.</x:v>
      </x:c>
      <x:c r="K6" s="9" t="str">
        <x:v>Почему int успешно преобразует 65536, а запись всё равно неверна?</x:v>
      </x:c>
      <x:c r="L6" s="9" t="str">
        <x:v>2026-10-06_note.md: вход, ожидание, факт, вывод, контроль</x:v>
      </x:c>
      <x:c r="M6" s="12"/>
      <x:c r="N6" s="12"/>
      <x:c r="O6" s="12"/>
      <x:c r="P6" s="14"/>
      <x:c r="Q6" s="9" t="str">
        <x:v>RU01</x:v>
      </x:c>
      <x:c r="R6" s="10" t="d">
        <x:v>2026-10-07T00:00:00.000Z</x:v>
      </x:c>
      <x:c r="S6" s="10" t="d">
        <x:v>2026-10-13T00:00:00.000Z</x:v>
      </x:c>
      <x:c r="T6" s="10" t="d">
        <x:v>2026-11-03T00:00:00.000Z</x:v>
      </x:c>
    </x:row>
    <x:row r="7" ht="52" hidden="0" customHeight="1">
      <x:c r="A7" s="10" t="d">
        <x:v>2026-10-07T00:00:00.000Z</x:v>
      </x:c>
      <x:c r="B7" s="9" t="str">
        <x:v>ср</x:v>
      </x:c>
      <x:c r="C7" s="9" t="n">
        <x:v>6</x:v>
      </x:c>
      <x:c r="D7" s="9" t="str">
        <x:v>изучение</x:v>
      </x:c>
      <x:c r="E7" s="9" t="str">
        <x:v>Функции Python и сохранение результата в JSON</x:v>
      </x:c>
      <x:c r="F7" s="9" t="str">
        <x:v>Разобрать: Параметры и return; печать и возвращаемое значение; изменяемые объекты; типы полей JSON.</x:v>
      </x:c>
      <x:c r="G7" s="9" t="str">
        <x:v>Раздели чтение, разбор и вывод на три функции. Сохрани JSON и прочитай обратно. Порт должен остаться числом.</x:v>
      </x:c>
      <x:c r="H7" s="9" t="str">
        <x:v>Python, C, локальные файлы</x:v>
      </x:c>
      <x:c r="I7" s="9" t="str">
        <x:v>RU46 Pythonworld Модуль json — dump dumps load loads и типы
https://pythonworld.ru/moduli/modul-json.html
RU01 METANIT Python — Функции и файлы
https://metanit.com/python/tutorial/</x:v>
      </x:c>
      <x:c r="J7" s="9" t="str">
        <x:v>Подтверждён предыдущий механизм; действуют условия темы и разрешённой лаборатории.</x:v>
      </x:c>
      <x:c r="K7" s="9" t="str">
        <x:v>Чем return отличается от print и где хранится номер ошибочной строки?</x:v>
      </x:c>
      <x:c r="L7" s="9" t="str">
        <x:v>2026-10-07_note.md: вход, ожидание, факт, вывод, контроль</x:v>
      </x:c>
      <x:c r="M7" s="12"/>
      <x:c r="N7" s="12"/>
      <x:c r="O7" s="12"/>
      <x:c r="P7" s="14"/>
      <x:c r="Q7" s="9" t="str">
        <x:v>RU46 RU01</x:v>
      </x:c>
      <x:c r="R7" s="10" t="d">
        <x:v>2026-10-08T00:00:00.000Z</x:v>
      </x:c>
      <x:c r="S7" s="10" t="d">
        <x:v>2026-10-14T00:00:00.000Z</x:v>
      </x:c>
      <x:c r="T7" s="10" t="d">
        <x:v>2026-11-04T00:00:00.000Z</x:v>
      </x:c>
    </x:row>
    <x:row r="8" ht="28" hidden="0" customHeight="1">
      <x:c r="A8" s="10" t="d">
        <x:v>2026-10-08T00:00:00.000Z</x:v>
      </x:c>
      <x:c r="B8" s="9" t="str">
        <x:v>чт</x:v>
      </x:c>
      <x:c r="C8" s="9" t="n">
        <x:v>6</x:v>
      </x:c>
      <x:c r="D8" s="9" t="str">
        <x:v>изучение</x:v>
      </x:c>
      <x:c r="E8" s="9" t="str">
        <x:v>Интерфейс командной строки и обработка ошибок</x:v>
      </x:c>
      <x:c r="F8" s="9" t="str">
        <x:v>Разобрать: Аргументы CLI; stdout и stderr; код завершения; отсутствующий аргумент и неверный вход.</x:v>
      </x:c>
      <x:c r="G8" s="9" t="str">
        <x:v>Добавь argparse и --help. Запусти с неверным путём и четырьмя ошибочными строками. Зафиксируй exit code и сообщения.</x:v>
      </x:c>
      <x:c r="H8" s="9" t="str">
        <x:v>Python, C, локальные файлы</x:v>
      </x:c>
      <x:c r="I8" s="9" t="str">
        <x:v>RU01 METANIT Python — Функции; исключения; файлы; модули
https://metanit.com/python/tutorial/</x:v>
      </x:c>
      <x:c r="J8" s="9" t="str">
        <x:v>Подтверждён предыдущий механизм; действуют условия темы и разрешённой лаборатории.</x:v>
      </x:c>
      <x:c r="K8" s="9" t="str">
        <x:v>Как различить ошибку файла и отклонённую запись?</x:v>
      </x:c>
      <x:c r="L8" s="9" t="str">
        <x:v>2026-10-08_note.md: вход, ожидание, факт, вывод, контроль</x:v>
      </x:c>
      <x:c r="M8" s="12"/>
      <x:c r="N8" s="12"/>
      <x:c r="O8" s="12"/>
      <x:c r="P8" s="14"/>
      <x:c r="Q8" s="9" t="str">
        <x:v>RU01</x:v>
      </x:c>
      <x:c r="R8" s="10" t="d">
        <x:v>2026-10-09T00:00:00.000Z</x:v>
      </x:c>
      <x:c r="S8" s="10" t="d">
        <x:v>2026-10-15T00:00:00.000Z</x:v>
      </x:c>
      <x:c r="T8" s="10" t="d">
        <x:v>2026-11-05T00:00:00.000Z</x:v>
      </x:c>
    </x:row>
    <x:row r="9" ht="76" hidden="0" customHeight="1">
      <x:c r="A9" s="10" t="d">
        <x:v>2026-10-09T00:00:00.000Z</x:v>
      </x:c>
      <x:c r="B9" s="9" t="str">
        <x:v>пт</x:v>
      </x:c>
      <x:c r="C9" s="9" t="n">
        <x:v>6</x:v>
      </x:c>
      <x:c r="D9" s="9" t="str">
        <x:v>изучение</x:v>
      </x:c>
      <x:c r="E9" s="9" t="str">
        <x:v>Буферы и строки C при вводе из Python</x:v>
      </x:c>
      <x:c r="F9" s="9" t="str">
        <x:v>Разобрать: Ёмкость массива; длина входа; завершающий нуль; проверка размера до копирования.</x:v>
      </x:c>
      <x:c r="G9" s="9" t="str">
        <x:v>Сравни Python-парсер со своим C-примером. Проверь пустой, обычный и граничный вход. Объясни одну явную проверку длины.</x:v>
      </x:c>
      <x:c r="H9" s="9" t="str">
        <x:v>Python, C, локальные файлы</x:v>
      </x:c>
      <x:c r="I9" s="9" t="str">
        <x:v>RU02 METANIT Язык Си — Массивы; указатели; строки; динамическая память
https://metanit.com/c/tutorial/
RU31 Microsoft Learn AddressSanitizer — Диагностика ошибок памяти
https://learn.microsoft.com/ru-ru/cpp/sanitizers/asan?view=msvc-170</x:v>
      </x:c>
      <x:c r="J9" s="9" t="str">
        <x:v>Подтверждён предыдущий механизм; действуют условия темы и разрешённой лаборатории.</x:v>
      </x:c>
      <x:c r="K9" s="9" t="str">
        <x:v>Почему sizeof массива и strlen входа отвечают на разные вопросы?</x:v>
      </x:c>
      <x:c r="L9" s="9" t="str">
        <x:v>2026-10-09_note.md: вход, ожидание, факт, вывод, контроль</x:v>
      </x:c>
      <x:c r="M9" s="12"/>
      <x:c r="N9" s="12"/>
      <x:c r="O9" s="12"/>
      <x:c r="P9" s="14"/>
      <x:c r="Q9" s="9" t="str">
        <x:v>RU02 RU31</x:v>
      </x:c>
      <x:c r="R9" s="10" t="d">
        <x:v>2026-10-10T00:00:00.000Z</x:v>
      </x:c>
      <x:c r="S9" s="10" t="d">
        <x:v>2026-10-16T00:00:00.000Z</x:v>
      </x:c>
      <x:c r="T9" s="10" t="d">
        <x:v>2026-11-06T00:00:00.000Z</x:v>
      </x:c>
    </x:row>
    <x:row r="10" ht="88" hidden="0" customHeight="1">
      <x:c r="A10" s="10" t="d">
        <x:v>2026-10-10T00:00:00.000Z</x:v>
      </x:c>
      <x:c r="B10" s="9" t="str">
        <x:v>сб</x:v>
      </x:c>
      <x:c r="C10" s="9" t="n">
        <x:v>6</x:v>
      </x:c>
      <x:c r="D10" s="9" t="str">
        <x:v>повторение</x:v>
      </x:c>
      <x:c r="E10" s="9" t="str">
        <x:v>Самостоятельный повтор Caesar — алфавит и сдвиг по модулю</x:v>
      </x:c>
      <x:c r="F10" s="9" t="str">
        <x:v>Повторить и применить: Алфавит и сдвиг по модулю; Unicode и сохранение символов; воспроизводимость функции.</x:v>
      </x:c>
      <x:c r="G10" s="9" t="str">
        <x:v>Повтори Caesar без ИИ: явно задай алфавит, проверь сдвиг на своей строке и обратное преобразование. Для учебного текста сохрани только метод и проверки; добавь неверный символ и повтор из чистой папки. При недоступности — локальная замена из карточки C01 в документе 12.
Локальная замена: Напиши сдвиг собственного алфавита и обратное преобразование; проверь пустую строку, символ вне алфавита и повторный запуск.</x:v>
      </x:c>
      <x:c r="H10" s="9" t="str">
        <x:v>Python, собственный скрипт</x:v>
      </x:c>
      <x:c r="I10" s="9" t="str">
        <x:v>RU01 METANIT Python — Строки, циклы и функции
https://metanit.com/python/tutorial/
RU54 Crypto Kids 2.0: лекции и задачи — Кодировки и буквенные шифры: Caesar
https://crypto-kids20.forkbomb.ru/tasks</x:v>
      </x:c>
      <x:c r="J10" s="9" t="str">
        <x:v>Строки/функции/CLI Python недели 6. Плитка на скриншоте затемнена: использовать как проверку понимания, не новый флаг.</x:v>
      </x:c>
      <x:c r="K10" s="9" t="str">
        <x:v>Что подтверждено собственным наблюдением, какой неверный контроль это ограничивает и смогу ли я повторить шаг без ИИ?</x:v>
      </x:c>
      <x:c r="L10" s="9" t="str">
        <x:v>2026-10-10_C01_note.md: вход, версия, наблюдение, контроль, подсказки и следующий шаг</x:v>
      </x:c>
      <x:c r="M10" s="12"/>
      <x:c r="N10" s="12"/>
      <x:c r="O10" s="12"/>
      <x:c r="P10" s="14"/>
      <x:c r="Q10" s="9" t="str">
        <x:v>C01 Caesar; шаг 1/1
https://crypto-kids20.forkbomb.ru/tasks/crybasic_caesar
Вместо блока, один вариант: CA03; карточки в документе 12.</x:v>
      </x:c>
      <x:c r="R10" s="10" t="d">
        <x:v>2026-10-11T00:00:00.000Z</x:v>
      </x:c>
      <x:c r="S10" s="10" t="d">
        <x:v>2026-10-17T00:00:00.000Z</x:v>
      </x:c>
      <x:c r="T10" s="10" t="d">
        <x:v>2026-11-07T00:00:00.000Z</x:v>
      </x:c>
    </x:row>
    <x:row r="11" ht="28" hidden="0" customHeight="1">
      <x:c r="A11" s="10" t="d">
        <x:v>2026-10-11T00:00:00.000Z</x:v>
      </x:c>
      <x:c r="B11" s="9" t="str">
        <x:v>вс</x:v>
      </x:c>
      <x:c r="C11" s="9" t="n">
        <x:v>6</x:v>
      </x:c>
      <x:c r="D11" s="9" t="str">
        <x:v>повторение</x:v>
      </x:c>
      <x:c r="E11" s="9" t="str">
        <x:v>Повторение Воспроизводимость Python-программы из чистой папки</x:v>
      </x:c>
      <x:c r="F11" s="9" t="str">
        <x:v>Вспомнить Версия Python и объяснить один отрицательный контроль по готовой заметке.</x:v>
      </x:c>
      <x:c r="G11" s="9" t="str">
        <x:v>Сверить ответ с собственной записью. Новую лабораторию не открывать.</x:v>
      </x:c>
      <x:c r="H11" s="9" t="str">
        <x:v>Python, C, локальные файлы</x:v>
      </x:c>
      <x:c r="I11" s="9" t="str">
        <x:v>Своя готовая заметка по теме; нового чтения нет</x:v>
      </x:c>
      <x:c r="J11" s="9" t="str">
        <x:v>Подтверждён предыдущий механизм; действуют условия темы и разрешённой лаборатории.</x:v>
      </x:c>
      <x:c r="K11" s="9" t="str">
        <x:v>Какой факт недели лучше всего подтверждает освоенный механизм?</x:v>
      </x:c>
      <x:c r="L11" s="9" t="str">
        <x:v>Карточка памяти по готовой заметке</x:v>
      </x:c>
      <x:c r="M11" s="12"/>
      <x:c r="N11" s="12"/>
      <x:c r="O11" s="12"/>
      <x:c r="P11" s="14"/>
      <x:c r="Q11" s="9" t="str">
        <x:v>своя заметка</x:v>
      </x:c>
      <x:c r="R11" s="10" t="d">
        <x:v>2026-10-12T00:00:00.000Z</x:v>
      </x:c>
      <x:c r="S11" s="10" t="d">
        <x:v>2026-10-18T00:00:00.000Z</x:v>
      </x:c>
      <x:c r="T11" s="10" t="d">
        <x:v>2026-11-08T00:00:00.000Z</x:v>
      </x:c>
    </x:row>
    <x:row r="12" ht="76" hidden="0" customHeight="1">
      <x:c r="A12" s="10" t="d">
        <x:v>2026-10-12T00:00:00.000Z</x:v>
      </x:c>
      <x:c r="B12" s="9" t="str">
        <x:v>пн</x:v>
      </x:c>
      <x:c r="C12" s="9" t="n">
        <x:v>7</x:v>
      </x:c>
      <x:c r="D12" s="9" t="str">
        <x:v>изучение</x:v>
      </x:c>
      <x:c r="E12" s="9" t="str">
        <x:v>Base64 как представление исходных байтов</x:v>
      </x:c>
      <x:c r="F12" s="9" t="str">
        <x:v>Разобрать: Алфавит и padding Base64; кодирование и декодирование; восстановление bytes; отличие от шифрования.</x:v>
      </x:c>
      <x:c r="G12" s="9" t="str">
        <x:v>Python: закодируй тестовые bytes в Base64, декодируй обратно и сравни. Измени один байт и сохрани новый результат.</x:v>
      </x:c>
      <x:c r="H12" s="9" t="str">
        <x:v>Python, браузер, тестовые bytes</x:v>
      </x:c>
      <x:c r="I12" s="9" t="str">
        <x:v>RU29 Андрей Коновалов CTF на Физтехе — 02-crypto: кодировки; хеши; MAC; сертификаты
https://github.com/xairy/mipt-ctf
RU05 OWASP ASVS 5.0.0 русский перевод — Разделы криптографии и защищённой связи
https://github.com/OWASP/ASVS</x:v>
      </x:c>
      <x:c r="J12" s="9" t="str">
        <x:v>Подтверждён предыдущий механизм; действуют условия темы и разрешённой лаборатории.</x:v>
      </x:c>
      <x:c r="K12" s="9" t="str">
        <x:v>Какая информация нужна для восстановления Base64?</x:v>
      </x:c>
      <x:c r="L12" s="9" t="str">
        <x:v>2026-10-12_note.md: вход, ожидание, факт, вывод, контроль</x:v>
      </x:c>
      <x:c r="M12" s="12"/>
      <x:c r="N12" s="12"/>
      <x:c r="O12" s="12"/>
      <x:c r="P12" s="14"/>
      <x:c r="Q12" s="9" t="str">
        <x:v>RU29 RU05
Вместо блока, один вариант: RA01, CA01, CA02; карточки в документе 12.</x:v>
      </x:c>
      <x:c r="R12" s="10" t="d">
        <x:v>2026-10-13T00:00:00.000Z</x:v>
      </x:c>
      <x:c r="S12" s="10" t="d">
        <x:v>2026-10-19T00:00:00.000Z</x:v>
      </x:c>
      <x:c r="T12" s="10" t="d">
        <x:v>2026-11-09T00:00:00.000Z</x:v>
      </x:c>
    </x:row>
    <x:row r="13" ht="76" hidden="0" customHeight="1">
      <x:c r="A13" s="10" t="d">
        <x:v>2026-10-13T00:00:00.000Z</x:v>
      </x:c>
      <x:c r="B13" s="9" t="str">
        <x:v>вт</x:v>
      </x:c>
      <x:c r="C13" s="9" t="n">
        <x:v>7</x:v>
      </x:c>
      <x:c r="D13" s="9" t="str">
        <x:v>изучение</x:v>
      </x:c>
      <x:c r="E13" s="9" t="str">
        <x:v>Хэш файла и проверка изменения содержимого</x:v>
      </x:c>
      <x:c r="F13" s="9" t="str">
        <x:v>Разобрать: Дайджест и его длина; хэширование файла; изменение одного байта; доверенный эталон.</x:v>
      </x:c>
      <x:c r="G13" s="9" t="str">
        <x:v>Посчитай SHA-256 своего файла, поменяй один байт, посчитай снова. Сохрани исходный файл, оба дайджеста и команду.</x:v>
      </x:c>
      <x:c r="H13" s="9" t="str">
        <x:v>Python, браузер, тестовые bytes</x:v>
      </x:c>
      <x:c r="I13" s="9" t="str">
        <x:v>RU29 Андрей Коновалов CTF на Физтехе — 02-crypto: кодировки; хеши; MAC; сертификаты
https://github.com/xairy/mipt-ctf
RU05 OWASP ASVS 5.0.0 русский перевод — Разделы криптографии и защищённой связи
https://github.com/OWASP/ASVS</x:v>
      </x:c>
      <x:c r="J13" s="9" t="str">
        <x:v>Подтверждён предыдущий механизм; действуют условия темы и разрешённой лаборатории.</x:v>
      </x:c>
      <x:c r="K13" s="9" t="str">
        <x:v>Что доказывает сравнение с эталоном из недоверенного источника?</x:v>
      </x:c>
      <x:c r="L13" s="9" t="str">
        <x:v>2026-10-13_note.md: вход, ожидание, факт, вывод, контроль</x:v>
      </x:c>
      <x:c r="M13" s="12"/>
      <x:c r="N13" s="12"/>
      <x:c r="O13" s="12"/>
      <x:c r="P13" s="14"/>
      <x:c r="Q13" s="9" t="str">
        <x:v>RU29 RU05</x:v>
      </x:c>
      <x:c r="R13" s="10" t="d">
        <x:v>2026-10-14T00:00:00.000Z</x:v>
      </x:c>
      <x:c r="S13" s="10" t="d">
        <x:v>2026-10-20T00:00:00.000Z</x:v>
      </x:c>
      <x:c r="T13" s="10" t="d">
        <x:v>2026-11-10T00:00:00.000Z</x:v>
      </x:c>
    </x:row>
    <x:row r="14" ht="76" hidden="0" customHeight="1">
      <x:c r="A14" s="10" t="d">
        <x:v>2026-10-14T00:00:00.000Z</x:v>
      </x:c>
      <x:c r="B14" s="9" t="str">
        <x:v>ср</x:v>
      </x:c>
      <x:c r="C14" s="9" t="n">
        <x:v>7</x:v>
      </x:c>
      <x:c r="D14" s="9" t="str">
        <x:v>изучение</x:v>
      </x:c>
      <x:c r="E14" s="9" t="str">
        <x:v>Хэш и MAC для проверки сообщения</x:v>
      </x:c>
      <x:c r="F14" s="9" t="str">
        <x:v>Разобрать: Обычный хэш; секретный ключ MAC; проверка подлинности; изменение сообщения и ключа.</x:v>
      </x:c>
      <x:c r="G14" s="9" t="str">
        <x:v>На тестовом сообщении сравни hashlib и hmac. Проверь правильный и другой ключ, изменённое сообщение. Настоящие секреты не используй.</x:v>
      </x:c>
      <x:c r="H14" s="9" t="str">
        <x:v>Python, браузер, тестовые bytes</x:v>
      </x:c>
      <x:c r="I14" s="9" t="str">
        <x:v>RU29 Андрей Коновалов CTF на Физтехе — 02-crypto: кодировки; хеши; MAC; сертификаты
https://github.com/xairy/mipt-ctf
RU05 OWASP ASVS 5.0.0 русский перевод — Разделы криптографии и защищённой связи
https://github.com/OWASP/ASVS</x:v>
      </x:c>
      <x:c r="J14" s="9" t="str">
        <x:v>Подтверждён предыдущий механизм; действуют условия темы и разрешённой лаборатории.</x:v>
      </x:c>
      <x:c r="K14" s="9" t="str">
        <x:v>Почему получатель MAC тоже может создать корректный MAC?</x:v>
      </x:c>
      <x:c r="L14" s="9" t="str">
        <x:v>2026-10-14_note.md: вход, ожидание, факт, вывод, контроль</x:v>
      </x:c>
      <x:c r="M14" s="12"/>
      <x:c r="N14" s="12"/>
      <x:c r="O14" s="12"/>
      <x:c r="P14" s="14"/>
      <x:c r="Q14" s="9" t="str">
        <x:v>RU29 RU05</x:v>
      </x:c>
      <x:c r="R14" s="10" t="d">
        <x:v>2026-10-15T00:00:00.000Z</x:v>
      </x:c>
      <x:c r="S14" s="10" t="d">
        <x:v>2026-10-21T00:00:00.000Z</x:v>
      </x:c>
      <x:c r="T14" s="10" t="d">
        <x:v>2026-11-11T00:00:00.000Z</x:v>
      </x:c>
    </x:row>
    <x:row r="15" ht="76" hidden="0" customHeight="1">
      <x:c r="A15" s="10" t="d">
        <x:v>2026-10-15T00:00:00.000Z</x:v>
      </x:c>
      <x:c r="B15" s="9" t="str">
        <x:v>чт</x:v>
      </x:c>
      <x:c r="C15" s="9" t="n">
        <x:v>7</x:v>
      </x:c>
      <x:c r="D15" s="9" t="str">
        <x:v>изучение</x:v>
      </x:c>
      <x:c r="E15" s="9" t="str">
        <x:v>Сертификат HTTPS и проверка доверия к узлу</x:v>
      </x:c>
      <x:c r="F15" s="9" t="str">
        <x:v>Разобрать: SAN и имя узла; issuer; сроки действия; цепочка сертификатов и корневой сертификат.</x:v>
      </x:c>
      <x:c r="G15" s="9" t="str">
        <x:v>В браузере открой сертификат разрешённого HTTPS-сайта. Запиши SAN, срок и issuer. Нарисуй цепочку без экспорта секретного ключа.</x:v>
      </x:c>
      <x:c r="H15" s="9" t="str">
        <x:v>Python, браузер, тестовые bytes</x:v>
      </x:c>
      <x:c r="I15" s="9" t="str">
        <x:v>RU29 Андрей Коновалов CTF на Физтехе — 02-crypto: кодировки; хеши; MAC; сертификаты
https://github.com/xairy/mipt-ctf
RU05 OWASP ASVS 5.0.0 русский перевод — Разделы криптографии и защищённой связи
https://github.com/OWASP/ASVS</x:v>
      </x:c>
      <x:c r="J15" s="9" t="str">
        <x:v>Подтверждён предыдущий механизм; действуют условия темы и разрешённой лаборатории.</x:v>
      </x:c>
      <x:c r="K15" s="9" t="str">
        <x:v>Достаточно ли действующего срока для доверия к имени сайта?</x:v>
      </x:c>
      <x:c r="L15" s="9" t="str">
        <x:v>2026-10-15_note.md: вход, ожидание, факт, вывод, контроль</x:v>
      </x:c>
      <x:c r="M15" s="12"/>
      <x:c r="N15" s="12"/>
      <x:c r="O15" s="12"/>
      <x:c r="P15" s="14"/>
      <x:c r="Q15" s="9" t="str">
        <x:v>RU29 RU05</x:v>
      </x:c>
      <x:c r="R15" s="10" t="d">
        <x:v>2026-10-16T00:00:00.000Z</x:v>
      </x:c>
      <x:c r="S15" s="10" t="d">
        <x:v>2026-10-22T00:00:00.000Z</x:v>
      </x:c>
      <x:c r="T15" s="10" t="d">
        <x:v>2026-11-12T00:00:00.000Z</x:v>
      </x:c>
    </x:row>
    <x:row r="16" ht="76" hidden="0" customHeight="1">
      <x:c r="A16" s="10" t="d">
        <x:v>2026-10-16T00:00:00.000Z</x:v>
      </x:c>
      <x:c r="B16" s="9" t="str">
        <x:v>пт</x:v>
      </x:c>
      <x:c r="C16" s="9" t="n">
        <x:v>7</x:v>
      </x:c>
      <x:c r="D16" s="9" t="str">
        <x:v>изучение</x:v>
      </x:c>
      <x:c r="E16" s="9" t="str">
        <x:v>Хранение паролей с солью и вычислительной стоимостью</x:v>
      </x:c>
      <x:c r="F16" s="9" t="str">
        <x:v>Разобрать: Salt для отдельных записей; одинаковые пароли; параметры стоимости; отличие password hashing от обычного хэша.</x:v>
      </x:c>
      <x:c r="G16" s="9" t="str">
        <x:v>Сравни две записи одного тестового пароля с разными salt. Запиши, какие параметры понадобятся при проверке. Не собирай чужие хэши.</x:v>
      </x:c>
      <x:c r="H16" s="9" t="str">
        <x:v>Python, браузер, тестовые bytes</x:v>
      </x:c>
      <x:c r="I16" s="9" t="str">
        <x:v>RU29 Андрей Коновалов CTF на Физтехе — 02-crypto: кодировки; хеши; MAC; сертификаты
https://github.com/xairy/mipt-ctf
RU05 OWASP ASVS 5.0.0 русский перевод — Разделы криптографии и защищённой связи
https://github.com/OWASP/ASVS</x:v>
      </x:c>
      <x:c r="J16" s="9" t="str">
        <x:v>Подтверждён предыдущий механизм; действуют условия темы и разрешённой лаборатории.</x:v>
      </x:c>
      <x:c r="K16" s="9" t="str">
        <x:v>Почему нельзя заменить password hashing быстрым SHA-256?</x:v>
      </x:c>
      <x:c r="L16" s="9" t="str">
        <x:v>2026-10-16_note.md: вход, ожидание, факт, вывод, контроль</x:v>
      </x:c>
      <x:c r="M16" s="12"/>
      <x:c r="N16" s="12"/>
      <x:c r="O16" s="12"/>
      <x:c r="P16" s="14"/>
      <x:c r="Q16" s="9" t="str">
        <x:v>RU29 RU05</x:v>
      </x:c>
      <x:c r="R16" s="10" t="d">
        <x:v>2026-10-17T00:00:00.000Z</x:v>
      </x:c>
      <x:c r="S16" s="10" t="d">
        <x:v>2026-10-23T00:00:00.000Z</x:v>
      </x:c>
      <x:c r="T16" s="10" t="d">
        <x:v>2026-11-13T00:00:00.000Z</x:v>
      </x:c>
    </x:row>
    <x:row r="17" ht="100" hidden="0" customHeight="1">
      <x:c r="A17" s="10" t="d">
        <x:v>2026-10-17T00:00:00.000Z</x:v>
      </x:c>
      <x:c r="B17" s="9" t="str">
        <x:v>сб</x:v>
      </x:c>
      <x:c r="C17" s="9" t="n">
        <x:v>7</x:v>
      </x:c>
      <x:c r="D17" s="9" t="str">
        <x:v>повторение</x:v>
      </x:c>
      <x:c r="E17" s="9" t="str">
        <x:v>Самостоятельный повтор Some martian message — представление байтов</x:v>
      </x:c>
      <x:c r="F17" s="9" t="str">
        <x:v>Повторить и применить: Представление байтов; кодирование и шифрование; проверка гипотезы.</x:v>
      </x:c>
      <x:c r="G17" s="9" t="str">
        <x:v>Повтори Some martian message без готового решения. Сохрани исходные bytes, гипотезу преобразования и обратный контроль; сравни с прежней заметкой только после попытки. При недоступности — локальная замена из карточки R25 в документе 12.
Локальная замена: В Python представь строку «ёлка» как UTF-8 bytes, закодируй в Base64 и проверь обратное преобразование. Объясни отличие от шифрования.</x:v>
      </x:c>
      <x:c r="H17" s="9" t="str">
        <x:v>Python, текст задания</x:v>
      </x:c>
      <x:c r="I17" s="9" t="str">
        <x:v>RU01 METANIT Python — Строки и байты
https://metanit.com/python/tutorial/
RU29 Андрей Коновалов CTF на Физтехе — 02-crypto: представление данных
https://github.com/xairy/mipt-ctf</x:v>
      </x:c>
      <x:c r="J17" s="9" t="str">
        <x:v>Строки и bytes Python; Base64 и хэш файла.</x:v>
      </x:c>
      <x:c r="K17" s="9" t="str">
        <x:v>Что подтверждено собственным наблюдением, какой неверный контроль это ограничивает и смогу ли я повторить шаг без ИИ?</x:v>
      </x:c>
      <x:c r="L17" s="9" t="str">
        <x:v>2026-10-17_R25_note.md: вход, версия, наблюдение, контроль, подсказки и следующий шаг</x:v>
      </x:c>
      <x:c r="M17" s="12"/>
      <x:c r="N17" s="12"/>
      <x:c r="O17" s="12"/>
      <x:c r="P17" s="14"/>
      <x:c r="Q17" s="9" t="str">
        <x:v>R25 Some martian message; шаг 1/1
https://ringzer0ctf.com/challenges/25
Вместо блока, один вариант: RA02, CA04, CA05; карточки в документе 12.</x:v>
      </x:c>
      <x:c r="R17" s="10" t="d">
        <x:v>2026-10-18T00:00:00.000Z</x:v>
      </x:c>
      <x:c r="S17" s="10" t="d">
        <x:v>2026-10-24T00:00:00.000Z</x:v>
      </x:c>
      <x:c r="T17" s="10" t="d">
        <x:v>2026-11-14T00:00:00.000Z</x:v>
      </x:c>
    </x:row>
    <x:row r="18" ht="28" hidden="0" customHeight="1">
      <x:c r="A18" s="10" t="d">
        <x:v>2026-10-18T00:00:00.000Z</x:v>
      </x:c>
      <x:c r="B18" s="9" t="str">
        <x:v>вс</x:v>
      </x:c>
      <x:c r="C18" s="9" t="n">
        <x:v>7</x:v>
      </x:c>
      <x:c r="D18" s="9" t="str">
        <x:v>повторение</x:v>
      </x:c>
      <x:c r="E18" s="9" t="str">
        <x:v>Повторение Разбор учебного криптоанализа или наблюдения TLS</x:v>
      </x:c>
      <x:c r="F18" s="9" t="str">
        <x:v>Вспомнить Для выбранного опыта: модель данных, исходные допущения, контрольный вход и граница вывода и объяснить один отрицательный контроль по готовой заметке.</x:v>
      </x:c>
      <x:c r="G18" s="9" t="str">
        <x:v>Сверить ответ с собственной записью. Новую лабораторию не открывать.</x:v>
      </x:c>
      <x:c r="H18" s="9" t="str">
        <x:v>Python, браузер, тестовые bytes</x:v>
      </x:c>
      <x:c r="I18" s="9" t="str">
        <x:v>Своя готовая заметка по теме; нового чтения нет</x:v>
      </x:c>
      <x:c r="J18" s="9" t="str">
        <x:v>Подтверждён предыдущий механизм; действуют условия темы и разрешённой лаборатории.</x:v>
      </x:c>
      <x:c r="K18" s="9" t="str">
        <x:v>Какой факт недели лучше всего подтверждает освоенный механизм?</x:v>
      </x:c>
      <x:c r="L18" s="9" t="str">
        <x:v>Карточка памяти по готовой заметке</x:v>
      </x:c>
      <x:c r="M18" s="12"/>
      <x:c r="N18" s="12"/>
      <x:c r="O18" s="12"/>
      <x:c r="P18" s="14"/>
      <x:c r="Q18" s="9" t="str">
        <x:v>своя заметка</x:v>
      </x:c>
      <x:c r="R18" s="10" t="d">
        <x:v>2026-10-19T00:00:00.000Z</x:v>
      </x:c>
      <x:c r="S18" s="10" t="d">
        <x:v>2026-10-25T00:00:00.000Z</x:v>
      </x:c>
      <x:c r="T18" s="10" t="d">
        <x:v>2026-11-15T00:00:00.000Z</x:v>
      </x:c>
    </x:row>
    <x:row r="19" ht="64" hidden="0" customHeight="1">
      <x:c r="A19" s="10" t="d">
        <x:v>2026-10-19T00:00:00.000Z</x:v>
      </x:c>
      <x:c r="B19" s="9" t="str">
        <x:v>пн</x:v>
      </x:c>
      <x:c r="C19" s="9" t="n">
        <x:v>8</x:v>
      </x:c>
      <x:c r="D19" s="9" t="str">
        <x:v>изучение</x:v>
      </x:c>
      <x:c r="E19" s="9" t="str">
        <x:v>Meow — шаг 1 из 2</x:v>
      </x:c>
      <x:c r="F19" s="9" t="str">
        <x:v>Изучить и проверить: Адрес и порт; сервис и процесс; аутентификация и конфигурация.</x:v>
      </x:c>
      <x:c r="G19" s="9" t="str">
        <x:v>Открой Meow в Starting Point. Запиши выданный адрес, проверь соединение и составь карту одного сервиса. Отдели измеренный факт от предположения. При недоступности — локальная замена из карточки H01 в документе 12.
Локальная замена: В своей VM свяжи один локальный TCP-сокет с процессом. Сохрани адрес, порт, процесс и результат подключения; сравни соединение с открытым и закрытым портом. Продолжай один и тот же локальный пример по шагу текущего дня.</x:v>
      </x:c>
      <x:c r="H19" s="9" t="str">
        <x:v>Linux VM, OpenVPN, Nmap, клиент сервиса</x:v>
      </x:c>
      <x:c r="I19" s="9" t="str">
        <x:v>RU10 Nmap Справочное руководство на русском — Основы: состояние порта и определение сервиса
https://nmap.org/man/ru/
RU03 METANIT Командная строка Linux — Процессы и сеть
https://metanit.com/os/linux/</x:v>
      </x:c>
      <x:c r="J19" s="9" t="str">
        <x:v>База TCP/IP, терминал Linux, разрешённый адрес цели и VPN Starting Point.</x:v>
      </x:c>
      <x:c r="K19" s="9" t="str">
        <x:v>Что подтверждено собственным наблюдением, какой неверный контроль это ограничивает и смогу ли я повторить шаг без ИИ?</x:v>
      </x:c>
      <x:c r="L19" s="9" t="str">
        <x:v>2026-10-19_H01_note.md: вход, версия, наблюдение, контроль, подсказки и следующий шаг</x:v>
      </x:c>
      <x:c r="M19" s="12"/>
      <x:c r="N19" s="12"/>
      <x:c r="O19" s="12"/>
      <x:c r="P19" s="14"/>
      <x:c r="Q19" s="9" t="str">
        <x:v>H01 Meow; шаг 1/2
https://app.hackthebox.com/starting-point</x:v>
      </x:c>
      <x:c r="R19" s="10" t="d">
        <x:v>2026-10-20T00:00:00.000Z</x:v>
      </x:c>
      <x:c r="S19" s="10" t="d">
        <x:v>2026-10-26T00:00:00.000Z</x:v>
      </x:c>
      <x:c r="T19" s="10" t="d">
        <x:v>2026-11-16T00:00:00.000Z</x:v>
      </x:c>
    </x:row>
    <x:row r="20" ht="64" hidden="0" customHeight="1">
      <x:c r="A20" s="10" t="d">
        <x:v>2026-10-20T00:00:00.000Z</x:v>
      </x:c>
      <x:c r="B20" s="9" t="str">
        <x:v>вт</x:v>
      </x:c>
      <x:c r="C20" s="9" t="n">
        <x:v>8</x:v>
      </x:c>
      <x:c r="D20" s="9" t="str">
        <x:v>изучение</x:v>
      </x:c>
      <x:c r="E20" s="9" t="str">
        <x:v>Meow — шаг 2 из 2</x:v>
      </x:c>
      <x:c r="F20" s="9" t="str">
        <x:v>Изучить и проверить: Адрес и порт; сервис и процесс; аутентификация и конфигурация.</x:v>
      </x:c>
      <x:c r="G20" s="9" t="str">
        <x:v>Продолжи тот же Meow по заданиям площадки. Получи предусмотренный учебный результат, проверь объяснение одним отрицательным случаем и закрой машину. При недоступности — локальная замена из карточки H01 в документе 12.
Локальная замена: В своей VM свяжи один локальный TCP-сокет с процессом. Сохрани адрес, порт, процесс и результат подключения; сравни соединение с открытым и закрытым портом. Продолжай один и тот же локальный пример по шагу текущего дня.</x:v>
      </x:c>
      <x:c r="H20" s="9" t="str">
        <x:v>Linux VM, OpenVPN, Nmap, клиент сервиса</x:v>
      </x:c>
      <x:c r="I20" s="9" t="str">
        <x:v>RU10 Nmap Справочное руководство на русском — Основы: состояние порта и определение сервиса
https://nmap.org/man/ru/
RU03 METANIT Командная строка Linux — Процессы и сеть
https://metanit.com/os/linux/</x:v>
      </x:c>
      <x:c r="J20" s="9" t="str">
        <x:v>База TCP/IP, терминал Linux, разрешённый адрес цели и VPN Starting Point.</x:v>
      </x:c>
      <x:c r="K20" s="9" t="str">
        <x:v>Что подтверждено собственным наблюдением, какой неверный контроль это ограничивает и смогу ли я повторить шаг без ИИ?</x:v>
      </x:c>
      <x:c r="L20" s="9" t="str">
        <x:v>2026-10-20_H01_note.md: вход, версия, наблюдение, контроль, подсказки и следующий шаг</x:v>
      </x:c>
      <x:c r="M20" s="12"/>
      <x:c r="N20" s="12"/>
      <x:c r="O20" s="12"/>
      <x:c r="P20" s="14"/>
      <x:c r="Q20" s="9" t="str">
        <x:v>H01 Meow; шаг 2/2
https://app.hackthebox.com/starting-point</x:v>
      </x:c>
      <x:c r="R20" s="10" t="d">
        <x:v>2026-10-21T00:00:00.000Z</x:v>
      </x:c>
      <x:c r="S20" s="10" t="d">
        <x:v>2026-10-27T00:00:00.000Z</x:v>
      </x:c>
      <x:c r="T20" s="10" t="d">
        <x:v>2026-11-17T00:00:00.000Z</x:v>
      </x:c>
    </x:row>
    <x:row r="21" ht="88" hidden="0" customHeight="1">
      <x:c r="A21" s="10" t="d">
        <x:v>2026-10-21T00:00:00.000Z</x:v>
      </x:c>
      <x:c r="B21" s="9" t="str">
        <x:v>ср</x:v>
      </x:c>
      <x:c r="C21" s="9" t="n">
        <x:v>8</x:v>
      </x:c>
      <x:c r="D21" s="9" t="str">
        <x:v>изучение</x:v>
      </x:c>
      <x:c r="E21" s="9" t="str">
        <x:v>Fawn — шаг 1 из 2</x:v>
      </x:c>
      <x:c r="F21" s="9" t="str">
        <x:v>Изучить и проверить: FTP; анонимная аутентификация; права чтения файлов.</x:v>
      </x:c>
      <x:c r="G21" s="9" t="str">
        <x:v>Открой Fawn. Подтверди сервис и сопоставь его режим входа с RU50. Сохрани наблюдаемую область доступа, не изменяя серверные файлы. При недоступности — локальная замена из карточки H02 в документе 12.
Локальная замена: В своей VM проверь чтение собственного файла в текущем контексте и чтение несуществующего пути. Построй по RU50 схему FTP-клиент аутентификация права файл. Это модель доступа, а не выполненный Fawn. Продолжай один и тот же локальный пример по шагу текущего дня.</x:v>
      </x:c>
      <x:c r="H21" s="9" t="str">
        <x:v>Nmap, FTP-клиент, Linux VM</x:v>
      </x:c>
      <x:c r="I21" s="9" t="str">
        <x:v>RU50 Microsoft Learn Аутентификация FTP — Общие сведения: anonymous и обычная аутентификация
https://learn.microsoft.com/ru-ru/iis/configuration/system.applicationhost/sites/site/ftpserver/security/authentication/
RU10 Nmap Справочное руководство на русском — Определение сервиса
https://nmap.org/man/ru/</x:v>
      </x:c>
      <x:c r="J21" s="9" t="str">
        <x:v>Meow; соединение с сервисом; отличие аутентификации от авторизации.</x:v>
      </x:c>
      <x:c r="K21" s="9" t="str">
        <x:v>Что подтверждено собственным наблюдением, какой неверный контроль это ограничивает и смогу ли я повторить шаг без ИИ?</x:v>
      </x:c>
      <x:c r="L21" s="9" t="str">
        <x:v>2026-10-21_H02_note.md: вход, версия, наблюдение, контроль, подсказки и следующий шаг</x:v>
      </x:c>
      <x:c r="M21" s="12"/>
      <x:c r="N21" s="12"/>
      <x:c r="O21" s="12"/>
      <x:c r="P21" s="14"/>
      <x:c r="Q21" s="9" t="str">
        <x:v>H02 Fawn; шаг 1/2
https://app.hackthebox.com/starting-point</x:v>
      </x:c>
      <x:c r="R21" s="10" t="d">
        <x:v>2026-10-22T00:00:00.000Z</x:v>
      </x:c>
      <x:c r="S21" s="10" t="d">
        <x:v>2026-10-28T00:00:00.000Z</x:v>
      </x:c>
      <x:c r="T21" s="10" t="d">
        <x:v>2026-11-18T00:00:00.000Z</x:v>
      </x:c>
    </x:row>
    <x:row r="22" ht="88" hidden="0" customHeight="1">
      <x:c r="A22" s="10" t="d">
        <x:v>2026-10-22T00:00:00.000Z</x:v>
      </x:c>
      <x:c r="B22" s="9" t="str">
        <x:v>чт</x:v>
      </x:c>
      <x:c r="C22" s="9" t="n">
        <x:v>8</x:v>
      </x:c>
      <x:c r="D22" s="9" t="str">
        <x:v>изучение</x:v>
      </x:c>
      <x:c r="E22" s="9" t="str">
        <x:v>Fawn — шаг 2 из 2</x:v>
      </x:c>
      <x:c r="F22" s="9" t="str">
        <x:v>Изучить и проверить: FTP; анонимная аутентификация; права чтения файлов.</x:v>
      </x:c>
      <x:c r="G22" s="9" t="str">
        <x:v>Заверши Fawn через предусмотренные задания. Объясни, какие права подтверждены чтением и какие остались неизвестными. Оформи результат и останови экземпляр. При недоступности — локальная замена из карточки H02 в документе 12.
Локальная замена: В своей VM проверь чтение собственного файла в текущем контексте и чтение несуществующего пути. Построй по RU50 схему FTP-клиент аутентификация права файл. Это модель доступа, а не выполненный Fawn. Продолжай один и тот же локальный пример по шагу текущего дня.</x:v>
      </x:c>
      <x:c r="H22" s="9" t="str">
        <x:v>Nmap, FTP-клиент, Linux VM</x:v>
      </x:c>
      <x:c r="I22" s="9" t="str">
        <x:v>RU50 Microsoft Learn Аутентификация FTP — Общие сведения: anonymous и обычная аутентификация
https://learn.microsoft.com/ru-ru/iis/configuration/system.applicationhost/sites/site/ftpserver/security/authentication/
RU10 Nmap Справочное руководство на русском — Определение сервиса
https://nmap.org/man/ru/</x:v>
      </x:c>
      <x:c r="J22" s="9" t="str">
        <x:v>Meow; соединение с сервисом; отличие аутентификации от авторизации.</x:v>
      </x:c>
      <x:c r="K22" s="9" t="str">
        <x:v>Что подтверждено собственным наблюдением, какой неверный контроль это ограничивает и смогу ли я повторить шаг без ИИ?</x:v>
      </x:c>
      <x:c r="L22" s="9" t="str">
        <x:v>2026-10-22_H02_note.md: вход, версия, наблюдение, контроль, подсказки и следующий шаг</x:v>
      </x:c>
      <x:c r="M22" s="12"/>
      <x:c r="N22" s="12"/>
      <x:c r="O22" s="12"/>
      <x:c r="P22" s="14"/>
      <x:c r="Q22" s="9" t="str">
        <x:v>H02 Fawn; шаг 2/2
https://app.hackthebox.com/starting-point</x:v>
      </x:c>
      <x:c r="R22" s="10" t="d">
        <x:v>2026-10-23T00:00:00.000Z</x:v>
      </x:c>
      <x:c r="S22" s="10" t="d">
        <x:v>2026-10-29T00:00:00.000Z</x:v>
      </x:c>
      <x:c r="T22" s="10" t="d">
        <x:v>2026-11-19T00:00:00.000Z</x:v>
      </x:c>
    </x:row>
    <x:row r="23" ht="100" hidden="0" customHeight="1">
      <x:c r="A23" s="10" t="d">
        <x:v>2026-10-23T00:00:00.000Z</x:v>
      </x:c>
      <x:c r="B23" s="9" t="str">
        <x:v>пт</x:v>
      </x:c>
      <x:c r="C23" s="9" t="n">
        <x:v>8</x:v>
      </x:c>
      <x:c r="D23" s="9" t="str">
        <x:v>изучение</x:v>
      </x:c>
      <x:c r="E23" s="9" t="str">
        <x:v>Dancing — smb</x:v>
      </x:c>
      <x:c r="F23" s="9" t="str">
        <x:v>Изучить и проверить: SMB; общий ресурс и файл; граница прав гостевого доступа.</x:v>
      </x:c>
      <x:c r="G23" s="9" t="str">
        <x:v>Пройди Dancing по выданным заданиям. Сохрани список ресурсов, контекст доступа и путь к учебному результату. Не делай вывод о правах записи только по успешному чтению. При недоступности — локальная замена из карточки H03 в документе 12.
Локальная замена: Для собственной папки в Windows VM выпиши владельца и разрешения чтения. По RU49 нарисуй путь клиент SMB ресурс файл и укажи, какие разрешения нужно проверить отдельно.</x:v>
      </x:c>
      <x:c r="H23" s="9" t="str">
        <x:v>Nmap, smbclient, Linux VM</x:v>
      </x:c>
      <x:c r="I23" s="9" t="str">
        <x:v>RU49 Microsoft Learn Протокол SMB и CIFS — Сеанс и общий ресурс; аутентификация SMB
https://learn.microsoft.com/ru-ru/windows/win32/fileio/microsoft-smb-protocol-and-cifs-protocol-overview
RU13 Microsoft Learn Управление доступом Windows — Разрешение доступа к объекту
https://learn.microsoft.com/ru-ru/windows/security/identity-protection/access-control/access-control</x:v>
      </x:c>
      <x:c r="J23" s="9" t="str">
        <x:v>Fawn; сетевой сервис; имя ресурса и права чтения.</x:v>
      </x:c>
      <x:c r="K23" s="9" t="str">
        <x:v>Что подтверждено собственным наблюдением, какой неверный контроль это ограничивает и смогу ли я повторить шаг без ИИ?</x:v>
      </x:c>
      <x:c r="L23" s="9" t="str">
        <x:v>2026-10-23_H03_note.md: вход, версия, наблюдение, контроль, подсказки и следующий шаг</x:v>
      </x:c>
      <x:c r="M23" s="12"/>
      <x:c r="N23" s="12"/>
      <x:c r="O23" s="12"/>
      <x:c r="P23" s="14"/>
      <x:c r="Q23" s="9" t="str">
        <x:v>H03 Dancing; шаг 1/1
https://app.hackthebox.com/starting-point</x:v>
      </x:c>
      <x:c r="R23" s="10" t="d">
        <x:v>2026-10-24T00:00:00.000Z</x:v>
      </x:c>
      <x:c r="S23" s="10" t="d">
        <x:v>2026-10-30T00:00:00.000Z</x:v>
      </x:c>
      <x:c r="T23" s="10" t="d">
        <x:v>2026-11-20T00:00:00.000Z</x:v>
      </x:c>
    </x:row>
    <x:row r="24" ht="88" hidden="0" customHeight="1">
      <x:c r="A24" s="10" t="d">
        <x:v>2026-10-24T00:00:00.000Z</x:v>
      </x:c>
      <x:c r="B24" s="9" t="str">
        <x:v>сб</x:v>
      </x:c>
      <x:c r="C24" s="9" t="n">
        <x:v>8</x:v>
      </x:c>
      <x:c r="D24" s="9" t="str">
        <x:v>повторение</x:v>
      </x:c>
      <x:c r="E24" s="9" t="str">
        <x:v>Redeemer — redis</x:v>
      </x:c>
      <x:c r="F24" s="9" t="str">
        <x:v>Повторить и применить: Redis; ключ и тип значения; доступ к данным без нужного ограничения.</x:v>
      </x:c>
      <x:c r="G24" s="9" t="str">
        <x:v>Пройди Redeemer. Подтверди сервис и прочитай предусмотренные заданием данные. Запиши тип значения и причину доступа; операции удаления и изменения конфигурации не нужны. При недоступности — локальная замена из карточки H04 в документе 12.
Локальная замена: В Python создай словарь с тремя ключами: строкой, списком и вложенным словарём. Проверь существующий и отсутствующий ключ. Сопоставь модель с типами Redis из RU51; запуск Redis не засчитывай.</x:v>
      </x:c>
      <x:c r="H24" s="9" t="str">
        <x:v>Nmap, redis-cli, Linux VM</x:v>
      </x:c>
      <x:c r="I24" s="9" t="str">
        <x:v>RU51 Timeweb Cloud Ключи и базы Redis — Типы Redis; чтение ключей и логическая база
https://timeweb.cloud/tutorials/redis/kak-upravlyat-klyuchami-i-bazami-dannyx-redis
RU10 Nmap Справочное руководство на русском — Определение сервиса
https://nmap.org/man/ru/</x:v>
      </x:c>
      <x:c r="J24" s="9" t="str">
        <x:v>Dancing; клиент сервер; понятие ключ значение. Не требуется знание SQL.</x:v>
      </x:c>
      <x:c r="K24" s="9" t="str">
        <x:v>Что подтверждено собственным наблюдением, какой неверный контроль это ограничивает и смогу ли я повторить шаг без ИИ?</x:v>
      </x:c>
      <x:c r="L24" s="9" t="str">
        <x:v>2026-10-24_H04_note.md: вход, версия, наблюдение, контроль, подсказки и следующий шаг</x:v>
      </x:c>
      <x:c r="M24" s="12"/>
      <x:c r="N24" s="12"/>
      <x:c r="O24" s="12"/>
      <x:c r="P24" s="14"/>
      <x:c r="Q24" s="9" t="str">
        <x:v>H04 Redeemer; шаг 1/1
https://app.hackthebox.com/starting-point</x:v>
      </x:c>
      <x:c r="R24" s="10" t="d">
        <x:v>2026-10-25T00:00:00.000Z</x:v>
      </x:c>
      <x:c r="S24" s="10" t="d">
        <x:v>2026-10-31T00:00:00.000Z</x:v>
      </x:c>
      <x:c r="T24" s="10" t="d">
        <x:v>2026-11-21T00:00:00.000Z</x:v>
      </x:c>
    </x:row>
    <x:row r="25" ht="28" hidden="0" customHeight="1">
      <x:c r="A25" s="10" t="d">
        <x:v>2026-10-25T00:00:00.000Z</x:v>
      </x:c>
      <x:c r="B25" s="9" t="str">
        <x:v>вс</x:v>
      </x:c>
      <x:c r="C25" s="9" t="n">
        <x:v>8</x:v>
      </x:c>
      <x:c r="D25" s="9" t="str">
        <x:v>повторение</x:v>
      </x:c>
      <x:c r="E25" s="9" t="str">
        <x:v>Повторение Redeemer по готовой заметке</x:v>
      </x:c>
      <x:c r="F25" s="9" t="str">
        <x:v>Вспомнить: Сервис база ключ значение; причина доступа; неподтверждённые права. Новое чтение не назначается.</x:v>
      </x:c>
      <x:c r="G25" s="9" t="str">
        <x:v>По собственной готовой записи объясни один успешный и один неверный контроль. Сверь вывод с заметкой. Новую лабораторию не открывай.</x:v>
      </x:c>
      <x:c r="H25" s="9" t="str">
        <x:v>Собственная готовая заметка</x:v>
      </x:c>
      <x:c r="I25" s="9" t="str">
        <x:v>Своя готовая заметка по теме; нового чтения нет</x:v>
      </x:c>
      <x:c r="J25" s="9" t="str">
        <x:v>Подтверждён предыдущий механизм; действуют условия темы и разрешённой лаборатории.</x:v>
      </x:c>
      <x:c r="K25" s="9" t="str">
        <x:v>Какое собственное наблюдение подтверждает вывод и что осталось неизвестным?</x:v>
      </x:c>
      <x:c r="L25" s="9" t="str">
        <x:v>Карточка памяти по готовой заметке</x:v>
      </x:c>
      <x:c r="M25" s="12"/>
      <x:c r="N25" s="12"/>
      <x:c r="O25" s="12"/>
      <x:c r="P25" s="14"/>
      <x:c r="Q25" s="9" t="str">
        <x:v>своя заметка</x:v>
      </x:c>
      <x:c r="R25" s="10" t="d">
        <x:v>2026-10-26T00:00:00.000Z</x:v>
      </x:c>
      <x:c r="S25" s="10" t="d">
        <x:v>2026-11-01T00:00:00.000Z</x:v>
      </x:c>
      <x:c r="T25" s="10" t="d">
        <x:v>2026-11-22T00:00:00.000Z</x:v>
      </x:c>
    </x:row>
    <x:row r="26" ht="28" hidden="0" customHeight="1">
      <x:c r="A26" s="10" t="d">
        <x:v>2026-10-26T00:00:00.000Z</x:v>
      </x:c>
      <x:c r="B26" s="9" t="str">
        <x:v>пн</x:v>
      </x:c>
      <x:c r="C26" s="9" t="n">
        <x:v>9</x:v>
      </x:c>
      <x:c r="D26" s="9" t="str">
        <x:v>изучение</x:v>
      </x:c>
      <x:c r="E26" s="9" t="str">
        <x:v>Структура HTTP-запроса и смысл его полей</x:v>
      </x:c>
      <x:c r="F26" s="9" t="str">
        <x:v>Разобрать: Метод; request target; заголовки; тело и границы сообщения.</x:v>
      </x:c>
      <x:c r="G26" s="9" t="str">
        <x:v>DevTools или Burp Community: подпиши один запрос своей lab. Измени одно обычное поле в Repeater и сравни ответ.</x:v>
      </x:c>
      <x:c r="H26" s="9" t="str">
        <x:v>DevTools, Burp Community</x:v>
      </x:c>
      <x:c r="I26" s="9" t="str">
        <x:v>RU06 MDN Обзор протокола HTTP — Запросы; ответы; HTTP поток
https://developer.mozilla.org/ru/docs/Web/HTTP/Guides/Overview</x:v>
      </x:c>
      <x:c r="J26" s="9" t="str">
        <x:v>Подтверждён предыдущий механизм; действуют условия темы и разрешённой лаборатории.</x:v>
      </x:c>
      <x:c r="K26" s="9" t="str">
        <x:v>Где заканчиваются заголовки и начинается тело?</x:v>
      </x:c>
      <x:c r="L26" s="9" t="str">
        <x:v>2026-10-26_note.md: вход, ожидание, факт, вывод, контроль</x:v>
      </x:c>
      <x:c r="M26" s="12"/>
      <x:c r="N26" s="12"/>
      <x:c r="O26" s="12"/>
      <x:c r="P26" s="14"/>
      <x:c r="Q26" s="9" t="str">
        <x:v>RU06</x:v>
      </x:c>
      <x:c r="R26" s="10" t="d">
        <x:v>2026-10-27T00:00:00.000Z</x:v>
      </x:c>
      <x:c r="S26" s="10" t="d">
        <x:v>2026-11-02T00:00:00.000Z</x:v>
      </x:c>
      <x:c r="T26" s="10" t="d">
        <x:v>2026-11-23T00:00:00.000Z</x:v>
      </x:c>
    </x:row>
    <x:row r="27" ht="64" hidden="0" customHeight="1">
      <x:c r="A27" s="10" t="d">
        <x:v>2026-10-27T00:00:00.000Z</x:v>
      </x:c>
      <x:c r="B27" s="9" t="str">
        <x:v>вт</x:v>
      </x:c>
      <x:c r="C27" s="9" t="n">
        <x:v>9</x:v>
      </x:c>
      <x:c r="D27" s="9" t="str">
        <x:v>изучение</x:v>
      </x:c>
      <x:c r="E27" s="9" t="str">
        <x:v>Cookie2 — cookie и серверная сессия</x:v>
      </x:c>
      <x:c r="F27" s="9" t="str">
        <x:v>Изучить и проверить: Cookie и серверная сессия; значение состояния клиента; граница доверия.</x:v>
      </x:c>
      <x:c r="G27" s="9" t="str">
        <x:v>Открой Cookie2. Сохрани обычный сеанс и сравни одно изменение клиентского состояния с неизменным запросом; установи, что действительно проверяет сервер. Не трогай cookie входа самой площадки. При недоступности — локальная замена из карточки WK01 в документе 12.
Локальная замена: На своей сессионной HTTP-lab сравни обычную cookie, отсутствующую и неверную. Запиши серверный результат и различие атрибутов cookie.</x:v>
      </x:c>
      <x:c r="H27" s="9" t="str">
        <x:v>DevTools, Repeater</x:v>
      </x:c>
      <x:c r="I27" s="9" t="str">
        <x:v>RU07 MDN HTTP куки — Cookie и атрибуты
https://developer.mozilla.org/ru/docs/Web/HTTP/Guides/Cookies
RU56 Web Kids 2.0: лекции и задачи — Базовые приёмы: Cookie2
https://web-kids20.forkbomb.ru/tasks</x:v>
      </x:c>
      <x:c r="J27" s="9" t="str">
        <x:v>HTTP, DevTools, права доступа к выданной lab.</x:v>
      </x:c>
      <x:c r="K27" s="9" t="str">
        <x:v>Что подтверждено собственным наблюдением, какой неверный контроль это ограничивает и смогу ли я повторить шаг без ИИ?</x:v>
      </x:c>
      <x:c r="L27" s="9" t="str">
        <x:v>2026-10-27_WK01_note.md: вход, версия, наблюдение, контроль, подсказки и следующий шаг</x:v>
      </x:c>
      <x:c r="M27" s="12"/>
      <x:c r="N27" s="12"/>
      <x:c r="O27" s="12"/>
      <x:c r="P27" s="14"/>
      <x:c r="Q27" s="9" t="str">
        <x:v>WK01 Cookie2; шаг 1/1
https://web-kids20.forkbomb.ru/tasks/intro_cookie2</x:v>
      </x:c>
      <x:c r="R27" s="10" t="d">
        <x:v>2026-10-28T00:00:00.000Z</x:v>
      </x:c>
      <x:c r="S27" s="10" t="d">
        <x:v>2026-11-03T00:00:00.000Z</x:v>
      </x:c>
      <x:c r="T27" s="10" t="d">
        <x:v>2026-11-24T00:00:00.000Z</x:v>
      </x:c>
    </x:row>
    <x:row r="28" ht="28" hidden="0" customHeight="1">
      <x:c r="A28" s="10" t="d">
        <x:v>2026-10-28T00:00:00.000Z</x:v>
      </x:c>
      <x:c r="B28" s="9" t="str">
        <x:v>ср</x:v>
      </x:c>
      <x:c r="C28" s="9" t="n">
        <x:v>9</x:v>
      </x:c>
      <x:c r="D28" s="9" t="str">
        <x:v>изучение</x:v>
      </x:c>
      <x:c r="E28" s="9" t="str">
        <x:v>Origin и браузерные ограничения SOP и CORS</x:v>
      </x:c>
      <x:c r="F28" s="9" t="str">
        <x:v>Разобрать: Схема, узел и порт origin; чтение между origin; заголовки CORS; разрешённые исключения.</x:v>
      </x:c>
      <x:c r="G28" s="9" t="str">
        <x:v>На двух собственных origin сопоставь обычный запрос и preflight. Запиши запрос, CORS-заголовки и доступность ответа JavaScript.</x:v>
      </x:c>
      <x:c r="H28" s="9" t="str">
        <x:v>DevTools, Burp Community</x:v>
      </x:c>
      <x:c r="I28" s="9" t="str">
        <x:v>RU08 MDN CORS — Origin; preflight; credentials
https://developer.mozilla.org/ru/docs/Web/HTTP/Guides/CORS</x:v>
      </x:c>
      <x:c r="J28" s="9" t="str">
        <x:v>Подтверждён предыдущий механизм; действуют условия темы и разрешённой лаборатории.</x:v>
      </x:c>
      <x:c r="K28" s="9" t="str">
        <x:v>Почему отправка запроса и чтение ответа — разные возможности?</x:v>
      </x:c>
      <x:c r="L28" s="9" t="str">
        <x:v>2026-10-28_note.md: вход, ожидание, факт, вывод, контроль</x:v>
      </x:c>
      <x:c r="M28" s="12"/>
      <x:c r="N28" s="12"/>
      <x:c r="O28" s="12"/>
      <x:c r="P28" s="14"/>
      <x:c r="Q28" s="9" t="str">
        <x:v>RU08</x:v>
      </x:c>
      <x:c r="R28" s="10" t="d">
        <x:v>2026-10-29T00:00:00.000Z</x:v>
      </x:c>
      <x:c r="S28" s="10" t="d">
        <x:v>2026-11-04T00:00:00.000Z</x:v>
      </x:c>
      <x:c r="T28" s="10" t="d">
        <x:v>2026-11-25T00:00:00.000Z</x:v>
      </x:c>
    </x:row>
    <x:row r="29" ht="76" hidden="0" customHeight="1">
      <x:c r="A29" s="10" t="d">
        <x:v>2026-10-29T00:00:00.000Z</x:v>
      </x:c>
      <x:c r="B29" s="9" t="str">
        <x:v>чт</x:v>
      </x:c>
      <x:c r="C29" s="9" t="n">
        <x:v>9</x:v>
      </x:c>
      <x:c r="D29" s="9" t="str">
        <x:v>изучение</x:v>
      </x:c>
      <x:c r="E29" s="9" t="str">
        <x:v>CSP и кодирование данных в контексте вывода</x:v>
      </x:c>
      <x:c r="F29" s="9" t="str">
        <x:v>Разобрать: Директивы CSP; допустимые источники; HTML и другие контексты вставки; контекстное кодирование.</x:v>
      </x:c>
      <x:c r="G29" s="9" t="str">
        <x:v>Разбери CSP своего учебного ответа. Отметь место вывода данных: текст, атрибут или JavaScript. Запиши подходящую защиту.</x:v>
      </x:c>
      <x:c r="H29" s="9" t="str">
        <x:v>DevTools, Burp Community</x:v>
      </x:c>
      <x:c r="I29" s="9" t="str">
        <x:v>RU09 MDN Content Security Policy — Директивы CSP и ограничение источников
https://developer.mozilla.org/ru/docs/Web/HTTP/Guides/CSP
RU05 OWASP ASVS 5.0.0 русский перевод — Кодирование и web frontend
https://github.com/OWASP/ASVS</x:v>
      </x:c>
      <x:c r="J29" s="9" t="str">
        <x:v>Подтверждён предыдущий механизм; действуют условия темы и разрешённой лаборатории.</x:v>
      </x:c>
      <x:c r="K29" s="9" t="str">
        <x:v>Почему одна универсальная замена символов не подходит всем контекстам?</x:v>
      </x:c>
      <x:c r="L29" s="9" t="str">
        <x:v>2026-10-29_note.md: вход, ожидание, факт, вывод, контроль</x:v>
      </x:c>
      <x:c r="M29" s="12"/>
      <x:c r="N29" s="12"/>
      <x:c r="O29" s="12"/>
      <x:c r="P29" s="14"/>
      <x:c r="Q29" s="9" t="str">
        <x:v>RU09 RU05</x:v>
      </x:c>
      <x:c r="R29" s="10" t="d">
        <x:v>2026-10-30T00:00:00.000Z</x:v>
      </x:c>
      <x:c r="S29" s="10" t="d">
        <x:v>2026-11-05T00:00:00.000Z</x:v>
      </x:c>
      <x:c r="T29" s="10" t="d">
        <x:v>2026-11-26T00:00:00.000Z</x:v>
      </x:c>
    </x:row>
    <x:row r="30" ht="28" hidden="0" customHeight="1">
      <x:c r="A30" s="10" t="d">
        <x:v>2026-10-30T00:00:00.000Z</x:v>
      </x:c>
      <x:c r="B30" s="9" t="str">
        <x:v>пт</x:v>
      </x:c>
      <x:c r="C30" s="9" t="n">
        <x:v>9</x:v>
      </x:c>
      <x:c r="D30" s="9" t="str">
        <x:v>изучение</x:v>
      </x:c>
      <x:c r="E30" s="9" t="str">
        <x:v>TLS и переходы своей сессии через редирект</x:v>
      </x:c>
      <x:c r="F30" s="9" t="str">
        <x:v>Разобрать: Проверка имени и цепочки; Location; смена схемы и узла; метод последующего запроса.</x:v>
      </x:c>
      <x:c r="G30" s="9" t="str">
        <x:v>DevTools: проследи одну цепочку редиректов собственной сессии. Запиши URL, метод, статус и границу передачи cookie.</x:v>
      </x:c>
      <x:c r="H30" s="9" t="str">
        <x:v>DevTools, Burp Community</x:v>
      </x:c>
      <x:c r="I30" s="9" t="str">
        <x:v>RU06 MDN Обзор протокола HTTP — Запросы; ответы; HTTP поток
https://developer.mozilla.org/ru/docs/Web/HTTP/Guides/Overview</x:v>
      </x:c>
      <x:c r="J30" s="9" t="str">
        <x:v>Подтверждён предыдущий механизм; действуют условия темы и разрешённой лаборатории.</x:v>
      </x:c>
      <x:c r="K30" s="9" t="str">
        <x:v>Какое свойство TLS не проверяет права пользователя на объект?</x:v>
      </x:c>
      <x:c r="L30" s="9" t="str">
        <x:v>2026-10-30_note.md: вход, ожидание, факт, вывод, контроль</x:v>
      </x:c>
      <x:c r="M30" s="12"/>
      <x:c r="N30" s="12"/>
      <x:c r="O30" s="12"/>
      <x:c r="P30" s="14"/>
      <x:c r="Q30" s="9" t="str">
        <x:v>RU06</x:v>
      </x:c>
      <x:c r="R30" s="10" t="d">
        <x:v>2026-10-31T00:00:00.000Z</x:v>
      </x:c>
      <x:c r="S30" s="10" t="d">
        <x:v>2026-11-06T00:00:00.000Z</x:v>
      </x:c>
      <x:c r="T30" s="10" t="d">
        <x:v>2026-11-27T00:00:00.000Z</x:v>
      </x:c>
    </x:row>
    <x:row r="31" ht="52" hidden="0" customHeight="1">
      <x:c r="A31" s="10" t="d">
        <x:v>2026-10-31T00:00:00.000Z</x:v>
      </x:c>
      <x:c r="B31" s="9" t="str">
        <x:v>сб</x:v>
      </x:c>
      <x:c r="C31" s="9" t="n">
        <x:v>9</x:v>
      </x:c>
      <x:c r="D31" s="9" t="str">
        <x:v>повторение</x:v>
      </x:c>
      <x:c r="E31" s="9" t="str">
        <x:v>Area 51 — http запрос и ответ</x:v>
      </x:c>
      <x:c r="F31" s="9" t="str">
        <x:v>Повторить и применить: HTTP запрос и ответ; контекст браузера; наблюдение вместо догадки.</x:v>
      </x:c>
      <x:c r="G31" s="9" t="str">
        <x:v>Открой Area 51 и изучи его собственное условие. Сохрани исходный HTTP-обмен, проверь одну гипотезу и объясни, какое наблюдение привело к ответу. При недоступности — локальная замена из карточки R48 в документе 12.
Локальная замена: Открой собственный локальный HTTP-сервис в браузере. Сохрани запрос и ответ в DevTools, измени один заголовок или параметр и сравни наблюдение с предсказанием.</x:v>
      </x:c>
      <x:c r="H31" s="9" t="str">
        <x:v>DevTools, Repeater или локальная копия запроса</x:v>
      </x:c>
      <x:c r="I31" s="9" t="str">
        <x:v>RU06 MDN Обзор протокола HTTP — Запрос ответ и заголовки
https://developer.mozilla.org/ru/docs/Web/HTTP/Guides/Overview</x:v>
      </x:c>
      <x:c r="J31" s="9" t="str">
        <x:v>HTTP и DevTools; не переносить приёмы на сайт входа площадки.</x:v>
      </x:c>
      <x:c r="K31" s="9" t="str">
        <x:v>Что подтверждено собственным наблюдением, какой неверный контроль это ограничивает и смогу ли я повторить шаг без ИИ?</x:v>
      </x:c>
      <x:c r="L31" s="9" t="str">
        <x:v>2026-10-31_R48_note.md: вход, версия, наблюдение, контроль, подсказки и следующий шаг</x:v>
      </x:c>
      <x:c r="M31" s="12"/>
      <x:c r="N31" s="12"/>
      <x:c r="O31" s="12"/>
      <x:c r="P31" s="14"/>
      <x:c r="Q31" s="9" t="str">
        <x:v>R48 Area 51; шаг 1/1
https://ringzer0ctf.com/challenges/48</x:v>
      </x:c>
      <x:c r="R31" s="10" t="d">
        <x:v>2026-11-01T00:00:00.000Z</x:v>
      </x:c>
      <x:c r="S31" s="10" t="d">
        <x:v>2026-11-07T00:00:00.000Z</x:v>
      </x:c>
      <x:c r="T31" s="10" t="d">
        <x:v>2026-11-28T00:00:00.000Z</x:v>
      </x:c>
    </x:row>
    <x:row r="32" ht="28" hidden="0" customHeight="1">
      <x:c r="A32" s="10" t="d">
        <x:v>2026-11-01T00:00:00.000Z</x:v>
      </x:c>
      <x:c r="B32" s="9" t="str">
        <x:v>вс</x:v>
      </x:c>
      <x:c r="C32" s="9" t="n">
        <x:v>9</x:v>
      </x:c>
      <x:c r="D32" s="9" t="str">
        <x:v>повторение</x:v>
      </x:c>
      <x:c r="E32" s="9" t="str">
        <x:v>Повторение Контролируемое изменение HTTP-запроса в Repeater</x:v>
      </x:c>
      <x:c r="F32" s="9" t="str">
        <x:v>Вспомнить Исходный запрос и объяснить один отрицательный контроль по готовой заметке.</x:v>
      </x:c>
      <x:c r="G32" s="9" t="str">
        <x:v>Сверить ответ с собственной записью. Новую лабораторию не открывать.</x:v>
      </x:c>
      <x:c r="H32" s="9" t="str">
        <x:v>DevTools, Burp Community</x:v>
      </x:c>
      <x:c r="I32" s="9" t="str">
        <x:v>Своя готовая заметка по теме; нового чтения нет</x:v>
      </x:c>
      <x:c r="J32" s="9" t="str">
        <x:v>Подтверждён предыдущий механизм; действуют условия темы и разрешённой лаборатории.</x:v>
      </x:c>
      <x:c r="K32" s="9" t="str">
        <x:v>Какой факт недели лучше всего подтверждает освоенный механизм?</x:v>
      </x:c>
      <x:c r="L32" s="9" t="str">
        <x:v>Карточка памяти по готовой заметке</x:v>
      </x:c>
      <x:c r="M32" s="12"/>
      <x:c r="N32" s="12"/>
      <x:c r="O32" s="12"/>
      <x:c r="P32" s="14"/>
      <x:c r="Q32" s="9" t="str">
        <x:v>своя заметка</x:v>
      </x:c>
      <x:c r="R32" s="10" t="d">
        <x:v>2026-11-02T00:00:00.000Z</x:v>
      </x:c>
      <x:c r="S32" s="10" t="d">
        <x:v>2026-11-08T00:00:00.000Z</x:v>
      </x:c>
      <x:c r="T32" s="10" t="d">
        <x:v>2026-11-29T00:00:00.000Z</x:v>
      </x:c>
    </x:row>
    <x:row r="33" ht="64" hidden="0" customHeight="1">
      <x:c r="A33" s="10" t="d">
        <x:v>2026-11-02T00:00:00.000Z</x:v>
      </x:c>
      <x:c r="B33" s="9" t="str">
        <x:v>пн</x:v>
      </x:c>
      <x:c r="C33" s="9" t="n">
        <x:v>10</x:v>
      </x:c>
      <x:c r="D33" s="9" t="str">
        <x:v>изучение</x:v>
      </x:c>
      <x:c r="E33" s="9" t="str">
        <x:v>DNS и Certificate Transparency в разрешённой области</x:v>
      </x:c>
      <x:c r="F33" s="9" t="str">
        <x:v>Разобрать: DNS-имена и записи; имена в сертификатах; источник наблюдения; включение имени в scope.</x:v>
      </x:c>
      <x:c r="G33" s="9" t="str">
        <x:v>На разрешённом имени запиши DNS-запись и источник наблюдения. В карту добавь статус разрешения. Внешнее сканирование не выполняй.</x:v>
      </x:c>
      <x:c r="H33" s="9" t="str">
        <x:v>DevTools, Burp, разрешённая lab</x:v>
      </x:c>
      <x:c r="I33" s="9" t="str">
        <x:v>RU05 OWASP ASVS 5.0.0 русский перевод — Конфигурация; методы API; авторизация
https://github.com/OWASP/ASVS
RU06 MDN Обзор протокола HTTP — Методы и ответы
https://developer.mozilla.org/ru/docs/Web/HTTP/Guides/Overview</x:v>
      </x:c>
      <x:c r="J33" s="9" t="str">
        <x:v>Подтверждён предыдущий механизм; действуют условия темы и разрешённой лаборатории.</x:v>
      </x:c>
      <x:c r="K33" s="9" t="str">
        <x:v>Почему найденный поддомен может оставаться вне scope?</x:v>
      </x:c>
      <x:c r="L33" s="9" t="str">
        <x:v>2026-11-02_note.md: вход, ожидание, факт, вывод, контроль</x:v>
      </x:c>
      <x:c r="M33" s="12"/>
      <x:c r="N33" s="12"/>
      <x:c r="O33" s="12"/>
      <x:c r="P33" s="14"/>
      <x:c r="Q33" s="9" t="str">
        <x:v>RU05 RU06</x:v>
      </x:c>
      <x:c r="R33" s="10" t="d">
        <x:v>2026-11-03T00:00:00.000Z</x:v>
      </x:c>
      <x:c r="S33" s="10" t="d">
        <x:v>2026-11-09T00:00:00.000Z</x:v>
      </x:c>
      <x:c r="T33" s="10" t="d">
        <x:v>2026-11-30T00:00:00.000Z</x:v>
      </x:c>
    </x:row>
    <x:row r="34" ht="64" hidden="0" customHeight="1">
      <x:c r="A34" s="10" t="d">
        <x:v>2026-11-03T00:00:00.000Z</x:v>
      </x:c>
      <x:c r="B34" s="9" t="str">
        <x:v>вт</x:v>
      </x:c>
      <x:c r="C34" s="9" t="n">
        <x:v>10</x:v>
      </x:c>
      <x:c r="D34" s="9" t="str">
        <x:v>изучение</x:v>
      </x:c>
      <x:c r="E34" s="9" t="str">
        <x:v>Маршруты приложения и разрешённые методы</x:v>
      </x:c>
      <x:c r="F34" s="9" t="str">
        <x:v>Разобрать: URL и HTTP-метод; параметры; состояние авторизации; разные операции одного пути.</x:v>
      </x:c>
      <x:c r="G34" s="9" t="str">
        <x:v>По документации своей lab и DevTools выпиши пять маршрутов. Укажи методы, роли и объекты. Проверяй только доступные функции.</x:v>
      </x:c>
      <x:c r="H34" s="9" t="str">
        <x:v>DevTools, Burp, разрешённая lab</x:v>
      </x:c>
      <x:c r="I34" s="9" t="str">
        <x:v>RU05 OWASP ASVS 5.0.0 русский перевод — Конфигурация; методы API; авторизация
https://github.com/OWASP/ASVS
RU06 MDN Обзор протокола HTTP — Методы и ответы
https://developer.mozilla.org/ru/docs/Web/HTTP/Guides/Overview</x:v>
      </x:c>
      <x:c r="J34" s="9" t="str">
        <x:v>Подтверждён предыдущий механизм; действуют условия темы и разрешённой лаборатории.</x:v>
      </x:c>
      <x:c r="K34" s="9" t="str">
        <x:v>Что потеряется, если записать URL без HTTP-метода?</x:v>
      </x:c>
      <x:c r="L34" s="9" t="str">
        <x:v>2026-11-03_note.md: вход, ожидание, факт, вывод, контроль</x:v>
      </x:c>
      <x:c r="M34" s="12"/>
      <x:c r="N34" s="12"/>
      <x:c r="O34" s="12"/>
      <x:c r="P34" s="14"/>
      <x:c r="Q34" s="9" t="str">
        <x:v>RU05 RU06</x:v>
      </x:c>
      <x:c r="R34" s="10" t="d">
        <x:v>2026-11-04T00:00:00.000Z</x:v>
      </x:c>
      <x:c r="S34" s="10" t="d">
        <x:v>2026-11-10T00:00:00.000Z</x:v>
      </x:c>
      <x:c r="T34" s="10" t="d">
        <x:v>2026-12-01T00:00:00.000Z</x:v>
      </x:c>
    </x:row>
    <x:row r="35" ht="64" hidden="0" customHeight="1">
      <x:c r="A35" s="10" t="d">
        <x:v>2026-11-04T00:00:00.000Z</x:v>
      </x:c>
      <x:c r="B35" s="9" t="str">
        <x:v>ср</x:v>
      </x:c>
      <x:c r="C35" s="9" t="n">
        <x:v>10</x:v>
      </x:c>
      <x:c r="D35" s="9" t="str">
        <x:v>изучение</x:v>
      </x:c>
      <x:c r="E35" s="9" t="str">
        <x:v>Настоящий ресурс и ответ soft 404</x:v>
      </x:c>
      <x:c r="F35" s="9" t="str">
        <x:v>Разобрать: Известный и отсутствующий URL; статус ответа; длина и содержимое; устойчивый признак различия.</x:v>
      </x:c>
      <x:c r="G35" s="9" t="str">
        <x:v>Сравни рабочий и заведомо отсутствующий URL своей lab. Сохрани статус, длину и смысл ответа. Найди надёжное различие.</x:v>
      </x:c>
      <x:c r="H35" s="9" t="str">
        <x:v>DevTools, Burp, разрешённая lab</x:v>
      </x:c>
      <x:c r="I35" s="9" t="str">
        <x:v>RU05 OWASP ASVS 5.0.0 русский перевод — Конфигурация; методы API; авторизация
https://github.com/OWASP/ASVS
RU06 MDN Обзор протокола HTTP — Методы и ответы
https://developer.mozilla.org/ru/docs/Web/HTTP/Guides/Overview</x:v>
      </x:c>
      <x:c r="J35" s="9" t="str">
        <x:v>Подтверждён предыдущий механизм; действуют условия темы и разрешённой лаборатории.</x:v>
      </x:c>
      <x:c r="K35" s="9" t="str">
        <x:v>Почему 200 не доказывает существование отдельного ресурса?</x:v>
      </x:c>
      <x:c r="L35" s="9" t="str">
        <x:v>2026-11-04_note.md: вход, ожидание, факт, вывод, контроль</x:v>
      </x:c>
      <x:c r="M35" s="12"/>
      <x:c r="N35" s="12"/>
      <x:c r="O35" s="12"/>
      <x:c r="P35" s="14"/>
      <x:c r="Q35" s="9" t="str">
        <x:v>RU05 RU06</x:v>
      </x:c>
      <x:c r="R35" s="10" t="d">
        <x:v>2026-11-05T00:00:00.000Z</x:v>
      </x:c>
      <x:c r="S35" s="10" t="d">
        <x:v>2026-11-11T00:00:00.000Z</x:v>
      </x:c>
      <x:c r="T35" s="10" t="d">
        <x:v>2026-12-02T00:00:00.000Z</x:v>
      </x:c>
    </x:row>
    <x:row r="36" ht="64" hidden="0" customHeight="1">
      <x:c r="A36" s="10" t="d">
        <x:v>2026-11-05T00:00:00.000Z</x:v>
      </x:c>
      <x:c r="B36" s="9" t="str">
        <x:v>чт</x:v>
      </x:c>
      <x:c r="C36" s="9" t="n">
        <x:v>10</x:v>
      </x:c>
      <x:c r="D36" s="9" t="str">
        <x:v>изучение</x:v>
      </x:c>
      <x:c r="E36" s="9" t="str">
        <x:v>Роли пользователей и владение объектами</x:v>
      </x:c>
      <x:c r="F36" s="9" t="str">
        <x:v>Разобрать: Субъект; операция; владелец объекта; серверная проверка разрешения.</x:v>
      </x:c>
      <x:c r="G36" s="9" t="str">
        <x:v>Создай матрицу двух ролей и двух собственных объектов. Пометь ожидаемые разрешения до запросов.</x:v>
      </x:c>
      <x:c r="H36" s="9" t="str">
        <x:v>DevTools, Burp, разрешённая lab</x:v>
      </x:c>
      <x:c r="I36" s="9" t="str">
        <x:v>RU05 OWASP ASVS 5.0.0 русский перевод — Конфигурация; методы API; авторизация
https://github.com/OWASP/ASVS
RU06 MDN Обзор протокола HTTP — Методы и ответы
https://developer.mozilla.org/ru/docs/Web/HTTP/Guides/Overview</x:v>
      </x:c>
      <x:c r="J36" s="9" t="str">
        <x:v>Подтверждён предыдущий механизм; действуют условия темы и разрешённой лаборатории.</x:v>
      </x:c>
      <x:c r="K36" s="9" t="str">
        <x:v>Какое право относится к роли, а какое — к владельцу объекта?</x:v>
      </x:c>
      <x:c r="L36" s="9" t="str">
        <x:v>2026-11-05_note.md: вход, ожидание, факт, вывод, контроль</x:v>
      </x:c>
      <x:c r="M36" s="12"/>
      <x:c r="N36" s="12"/>
      <x:c r="O36" s="12"/>
      <x:c r="P36" s="14"/>
      <x:c r="Q36" s="9" t="str">
        <x:v>RU05 RU06</x:v>
      </x:c>
      <x:c r="R36" s="10" t="d">
        <x:v>2026-11-06T00:00:00.000Z</x:v>
      </x:c>
      <x:c r="S36" s="10" t="d">
        <x:v>2026-11-12T00:00:00.000Z</x:v>
      </x:c>
      <x:c r="T36" s="10" t="d">
        <x:v>2026-12-03T00:00:00.000Z</x:v>
      </x:c>
    </x:row>
    <x:row r="37" ht="88" hidden="0" customHeight="1">
      <x:c r="A37" s="10" t="d">
        <x:v>2026-11-06T00:00:00.000Z</x:v>
      </x:c>
      <x:c r="B37" s="9" t="str">
        <x:v>пт</x:v>
      </x:c>
      <x:c r="C37" s="9" t="n">
        <x:v>10</x:v>
      </x:c>
      <x:c r="D37" s="9" t="str">
        <x:v>изучение</x:v>
      </x:c>
      <x:c r="E37" s="9" t="str">
        <x:v>Hash me reloaded — шаг 1 из 2</x:v>
      </x:c>
      <x:c r="F37" s="9" t="str">
        <x:v>Изучить и проверить: Автоматизация запросов; точные байты и хэш; проверка результата и ошибок.</x:v>
      </x:c>
      <x:c r="G37" s="9" t="str">
        <x:v>Открой условие Hash me reloaded после входа. Выдели формат входа/выхода и границы автоматизации; на локальном сохранённом примере проверь байты и вычисление результата. При недоступности — локальная замена из карточки RN01 в документе 12.
Локальная замена: На собственном фиксированном HTTP-ответе разбери поле данных, вычисли хэш точных bytes и проверь корректный, пустой и повреждённый вход. Запросы к сервису не нужны.</x:v>
      </x:c>
      <x:c r="H37" s="9" t="str">
        <x:v>Python, hashlib, HTTP-клиент</x:v>
      </x:c>
      <x:c r="I37" s="9" t="str">
        <x:v>RU01 METANIT Python — Байты, функции, обработка исключений
https://metanit.com/python/tutorial/
RU06 MDN Обзор протокола HTTP — Структура запроса и ответа
https://developer.mozilla.org/ru/docs/Web/HTTP/Guides/Overview</x:v>
      </x:c>
      <x:c r="J37" s="9" t="str">
        <x:v>Python bytes, hashlib, HTTP и Hash me please из показанной истории; если самостоятельный контроль Hash me please не пройден, повторить его вместо RN01.</x:v>
      </x:c>
      <x:c r="K37" s="9" t="str">
        <x:v>Что подтверждено собственным наблюдением, какой неверный контроль это ограничивает и смогу ли я повторить шаг без ИИ?</x:v>
      </x:c>
      <x:c r="L37" s="9" t="str">
        <x:v>2026-11-06_RN01_note.md: вход, версия, наблюдение, контроль, подсказки и следующий шаг</x:v>
      </x:c>
      <x:c r="M37" s="12"/>
      <x:c r="N37" s="12"/>
      <x:c r="O37" s="12"/>
      <x:c r="P37" s="14"/>
      <x:c r="Q37" s="9" t="str">
        <x:v>RN01 Hash me reloaded; шаг 1/2
https://ringzer0ctf.com/challenges/14
Вместо блока, один вариант: RA09; карточки в документе 12.</x:v>
      </x:c>
      <x:c r="R37" s="10" t="d">
        <x:v>2026-11-07T00:00:00.000Z</x:v>
      </x:c>
      <x:c r="S37" s="10" t="d">
        <x:v>2026-11-13T00:00:00.000Z</x:v>
      </x:c>
      <x:c r="T37" s="10" t="d">
        <x:v>2026-12-04T00:00:00.000Z</x:v>
      </x:c>
    </x:row>
    <x:row r="38" ht="88" hidden="0" customHeight="1">
      <x:c r="A38" s="10" t="d">
        <x:v>2026-11-07T00:00:00.000Z</x:v>
      </x:c>
      <x:c r="B38" s="9" t="str">
        <x:v>сб</x:v>
      </x:c>
      <x:c r="C38" s="9" t="n">
        <x:v>10</x:v>
      </x:c>
      <x:c r="D38" s="9" t="str">
        <x:v>повторение</x:v>
      </x:c>
      <x:c r="E38" s="9" t="str">
        <x:v>Hash me reloaded — шаг 2 из 2</x:v>
      </x:c>
      <x:c r="F38" s="9" t="str">
        <x:v>Повторить и применить: Автоматизация запросов; точные байты и хэш; проверка результата и ошибок.</x:v>
      </x:c>
      <x:c r="G38" s="9" t="str">
        <x:v>Собери клиент только для endpoint из условия. Добавь проверку ответа и явную обработку неверного входа; сохрани принятый результат и повтор вычисления без подсказки. При недоступности — локальная замена из карточки RN01 в документе 12.
Локальная замена: На собственном фиксированном HTTP-ответе разбери поле данных, вычисли хэш точных bytes и проверь корректный, пустой и повреждённый вход. Запросы к сервису не нужны.</x:v>
      </x:c>
      <x:c r="H38" s="9" t="str">
        <x:v>Python, hashlib, HTTP-клиент</x:v>
      </x:c>
      <x:c r="I38" s="9" t="str">
        <x:v>RU01 METANIT Python — Байты, функции, обработка исключений
https://metanit.com/python/tutorial/
RU06 MDN Обзор протокола HTTP — Структура запроса и ответа
https://developer.mozilla.org/ru/docs/Web/HTTP/Guides/Overview</x:v>
      </x:c>
      <x:c r="J38" s="9" t="str">
        <x:v>Python bytes, hashlib, HTTP и Hash me please из показанной истории; если самостоятельный контроль Hash me please не пройден, повторить его вместо RN01.</x:v>
      </x:c>
      <x:c r="K38" s="9" t="str">
        <x:v>Что подтверждено собственным наблюдением, какой неверный контроль это ограничивает и смогу ли я повторить шаг без ИИ?</x:v>
      </x:c>
      <x:c r="L38" s="9" t="str">
        <x:v>2026-11-07_RN01_note.md: вход, версия, наблюдение, контроль, подсказки и следующий шаг</x:v>
      </x:c>
      <x:c r="M38" s="12"/>
      <x:c r="N38" s="12"/>
      <x:c r="O38" s="12"/>
      <x:c r="P38" s="14"/>
      <x:c r="Q38" s="9" t="str">
        <x:v>RN01 Hash me reloaded; шаг 2/2
https://ringzer0ctf.com/challenges/14
Вместо блока, один вариант: RA09; карточки в документе 12.</x:v>
      </x:c>
      <x:c r="R38" s="10" t="d">
        <x:v>2026-11-08T00:00:00.000Z</x:v>
      </x:c>
      <x:c r="S38" s="10" t="d">
        <x:v>2026-11-14T00:00:00.000Z</x:v>
      </x:c>
      <x:c r="T38" s="10" t="d">
        <x:v>2026-12-05T00:00:00.000Z</x:v>
      </x:c>
    </x:row>
    <x:row r="39" ht="28" hidden="0" customHeight="1">
      <x:c r="A39" s="10" t="d">
        <x:v>2026-11-08T00:00:00.000Z</x:v>
      </x:c>
      <x:c r="B39" s="9" t="str">
        <x:v>вс</x:v>
      </x:c>
      <x:c r="C39" s="9" t="n">
        <x:v>10</x:v>
      </x:c>
      <x:c r="D39" s="9" t="str">
        <x:v>повторение</x:v>
      </x:c>
      <x:c r="E39" s="9" t="str">
        <x:v>Повторение Проверенная поверхность и границы учебного аудита</x:v>
      </x:c>
      <x:c r="F39" s="9" t="str">
        <x:v>Вспомнить Карта маршрутов и объяснить один отрицательный контроль по готовой заметке.</x:v>
      </x:c>
      <x:c r="G39" s="9" t="str">
        <x:v>Сверить ответ с собственной записью. Новую лабораторию не открывать.</x:v>
      </x:c>
      <x:c r="H39" s="9" t="str">
        <x:v>DevTools, Burp, разрешённая lab</x:v>
      </x:c>
      <x:c r="I39" s="9" t="str">
        <x:v>Своя готовая заметка по теме; нового чтения нет</x:v>
      </x:c>
      <x:c r="J39" s="9" t="str">
        <x:v>Подтверждён предыдущий механизм; действуют условия темы и разрешённой лаборатории.</x:v>
      </x:c>
      <x:c r="K39" s="9" t="str">
        <x:v>Какой факт недели лучше всего подтверждает освоенный механизм?</x:v>
      </x:c>
      <x:c r="L39" s="9" t="str">
        <x:v>Карточка памяти по готовой заметке</x:v>
      </x:c>
      <x:c r="M39" s="12"/>
      <x:c r="N39" s="12"/>
      <x:c r="O39" s="12"/>
      <x:c r="P39" s="14"/>
      <x:c r="Q39" s="9" t="str">
        <x:v>своя заметка</x:v>
      </x:c>
      <x:c r="R39" s="10" t="d">
        <x:v>2026-11-09T00:00:00.000Z</x:v>
      </x:c>
      <x:c r="S39" s="10" t="d">
        <x:v>2026-11-15T00:00:00.000Z</x:v>
      </x:c>
      <x:c r="T39" s="10" t="d">
        <x:v>2026-12-06T00:00:00.000Z</x:v>
      </x:c>
    </x:row>
    <x:row r="40" ht="28" hidden="0" customHeight="1">
      <x:c r="A40" s="10" t="d">
        <x:v>2026-11-09T00:00:00.000Z</x:v>
      </x:c>
      <x:c r="B40" s="9" t="str">
        <x:v>пн</x:v>
      </x:c>
      <x:c r="C40" s="9" t="n">
        <x:v>11</x:v>
      </x:c>
      <x:c r="D40" s="9" t="str">
        <x:v>изучение</x:v>
      </x:c>
      <x:c r="E40" s="9" t="str">
        <x:v>Таблица SQLite и структура SQL-операции</x:v>
      </x:c>
      <x:c r="F40" s="9" t="str">
        <x:v>Разобрать: Схема таблицы; поля и строки; структура запроса; данные и условия выборки.</x:v>
      </x:c>
      <x:c r="G40" s="9" t="str">
        <x:v>Создай локальную таблицу с двумя вымышленными записями. Выполни выборку по одному полю и сохрани запрос с результатом.</x:v>
      </x:c>
      <x:c r="H40" s="9" t="str">
        <x:v>SQLite, Python, Academy-lab</x:v>
      </x:c>
      <x:c r="I40" s="9" t="str">
        <x:v>RU47 METANIT SQLite — Создание таблицы; SELECT; WHERE
https://metanit.com/sql/sqlite/</x:v>
      </x:c>
      <x:c r="J40" s="9" t="str">
        <x:v>Подтверждён предыдущий механизм; действуют условия темы и разрешённой лаборатории.</x:v>
      </x:c>
      <x:c r="K40" s="9" t="str">
        <x:v>Что определяет структуру SELECT, а что является данными?</x:v>
      </x:c>
      <x:c r="L40" s="9" t="str">
        <x:v>2026-11-09_note.md: вход, ожидание, факт, вывод, контроль</x:v>
      </x:c>
      <x:c r="M40" s="12"/>
      <x:c r="N40" s="12"/>
      <x:c r="O40" s="12"/>
      <x:c r="P40" s="14"/>
      <x:c r="Q40" s="9" t="str">
        <x:v>RU47</x:v>
      </x:c>
      <x:c r="R40" s="10" t="d">
        <x:v>2026-11-10T00:00:00.000Z</x:v>
      </x:c>
      <x:c r="S40" s="10" t="d">
        <x:v>2026-11-16T00:00:00.000Z</x:v>
      </x:c>
      <x:c r="T40" s="10" t="d">
        <x:v>2026-12-07T00:00:00.000Z</x:v>
      </x:c>
    </x:row>
    <x:row r="41" ht="64" hidden="0" customHeight="1">
      <x:c r="A41" s="10" t="d">
        <x:v>2026-11-10T00:00:00.000Z</x:v>
      </x:c>
      <x:c r="B41" s="9" t="str">
        <x:v>вт</x:v>
      </x:c>
      <x:c r="C41" s="9" t="n">
        <x:v>11</x:v>
      </x:c>
      <x:c r="D41" s="9" t="str">
        <x:v>изучение</x:v>
      </x:c>
      <x:c r="E41" s="9" t="str">
        <x:v>Склейка SQL-строки и привязка параметров</x:v>
      </x:c>
      <x:c r="F41" s="9" t="str">
        <x:v>Разобрать: SQL-синтаксис; пользовательское значение; binding; сохранение структуры запроса.</x:v>
      </x:c>
      <x:c r="G41" s="9" t="str">
        <x:v>На приложенном SQLite-примере сравни склейку и параметризацию. Проверь обычный и подготовленный учебный ввод, сохрани обе выборки.</x:v>
      </x:c>
      <x:c r="H41" s="9" t="str">
        <x:v>SQLite, Python, Academy-lab</x:v>
      </x:c>
      <x:c r="I41" s="9" t="str">
        <x:v>RU29 Андрей Коновалов CTF на Физтехе — 03-web: SQL injection
https://github.com/xairy/mipt-ctf
RU05 OWASP ASVS 5.0.0 русский перевод — Предотвращение инъекций
https://github.com/OWASP/ASVS</x:v>
      </x:c>
      <x:c r="J41" s="9" t="str">
        <x:v>Подтверждён предыдущий механизм; действуют условия темы и разрешённой лаборатории.</x:v>
      </x:c>
      <x:c r="K41" s="9" t="str">
        <x:v>Почему escaping и binding нельзя считать одинаковым договором?</x:v>
      </x:c>
      <x:c r="L41" s="9" t="str">
        <x:v>2026-11-10_note.md: вход, ожидание, факт, вывод, контроль</x:v>
      </x:c>
      <x:c r="M41" s="12"/>
      <x:c r="N41" s="12"/>
      <x:c r="O41" s="12"/>
      <x:c r="P41" s="14"/>
      <x:c r="Q41" s="9" t="str">
        <x:v>RU29 RU05</x:v>
      </x:c>
      <x:c r="R41" s="10" t="d">
        <x:v>2026-11-11T00:00:00.000Z</x:v>
      </x:c>
      <x:c r="S41" s="10" t="d">
        <x:v>2026-11-17T00:00:00.000Z</x:v>
      </x:c>
      <x:c r="T41" s="10" t="d">
        <x:v>2026-12-08T00:00:00.000Z</x:v>
      </x:c>
    </x:row>
    <x:row r="42" ht="64" hidden="0" customHeight="1">
      <x:c r="A42" s="10" t="d">
        <x:v>2026-11-11T00:00:00.000Z</x:v>
      </x:c>
      <x:c r="B42" s="9" t="str">
        <x:v>ср</x:v>
      </x:c>
      <x:c r="C42" s="9" t="n">
        <x:v>11</x:v>
      </x:c>
      <x:c r="D42" s="9" t="str">
        <x:v>изучение</x:v>
      </x:c>
      <x:c r="E42" s="9" t="str">
        <x:v>Most basic SQLi pattern. — ввод и структура sql</x:v>
      </x:c>
      <x:c r="F42" s="9" t="str">
        <x:v>Изучить и проверить: Ввод и структура SQL; условие выборки; положительный и отрицательный контроль.</x:v>
      </x:c>
      <x:c r="G42" s="9" t="str">
        <x:v>Реши Most basic SQLi pattern. в его выданной форме. Сравни обычный и изменённый запрос; объясни изменение логики и проверь своё исправление в уже готовой модели. При недоступности — локальная замена из карточки R01 в документе 12.
Локальная замена: Выполни Локальные_упражнения/03_sql_binding.py на его тестовых данных. Сравни склейку запроса и привязку параметров; сохрани обычный и ошибочный контроль.</x:v>
      </x:c>
      <x:c r="H42" s="9" t="str">
        <x:v>Браузер, Repeater, своя SQLite-модель</x:v>
      </x:c>
      <x:c r="I42" s="9" t="str">
        <x:v>RU47 METANIT SQLite — SELECT и WHERE
https://metanit.com/sql/sqlite/
RU05 OWASP ASVS 5.0.0 русский перевод — Инъекции и обработка входа
https://github.com/OWASP/ASVS</x:v>
      </x:c>
      <x:c r="J42" s="9" t="str">
        <x:v>SELECT и WHERE; привязка параметров; обычный и ошибочный ввод.</x:v>
      </x:c>
      <x:c r="K42" s="9" t="str">
        <x:v>Что подтверждено собственным наблюдением, какой неверный контроль это ограничивает и смогу ли я повторить шаг без ИИ?</x:v>
      </x:c>
      <x:c r="L42" s="9" t="str">
        <x:v>2026-11-11_R01_note.md: вход, версия, наблюдение, контроль, подсказки и следующий шаг</x:v>
      </x:c>
      <x:c r="M42" s="12"/>
      <x:c r="N42" s="12"/>
      <x:c r="O42" s="12"/>
      <x:c r="P42" s="14"/>
      <x:c r="Q42" s="9" t="str">
        <x:v>R01 Most basic SQLi pattern.; шаг 1/1
https://ringzer0ctf.com/challenges/1</x:v>
      </x:c>
      <x:c r="R42" s="10" t="d">
        <x:v>2026-11-12T00:00:00.000Z</x:v>
      </x:c>
      <x:c r="S42" s="10" t="d">
        <x:v>2026-11-18T00:00:00.000Z</x:v>
      </x:c>
      <x:c r="T42" s="10" t="d">
        <x:v>2026-12-09T00:00:00.000Z</x:v>
      </x:c>
    </x:row>
    <x:row r="43" ht="64" hidden="0" customHeight="1">
      <x:c r="A43" s="10" t="d">
        <x:v>2026-11-12T00:00:00.000Z</x:v>
      </x:c>
      <x:c r="B43" s="9" t="str">
        <x:v>чт</x:v>
      </x:c>
      <x:c r="C43" s="9" t="n">
        <x:v>11</x:v>
      </x:c>
      <x:c r="D43" s="9" t="str">
        <x:v>изучение</x:v>
      </x:c>
      <x:c r="E43" s="9" t="str">
        <x:v>Appointment — шаг 1 из 2</x:v>
      </x:c>
      <x:c r="F43" s="9" t="str">
        <x:v>Изучить и проверить: HTTP форма; SQL-инъекция; серверная проверка входа.</x:v>
      </x:c>
      <x:c r="G43" s="9" t="str">
        <x:v>Открой Appointment. Подтверди HTTP-сервис, запиши обычную работу формы и один проверяемый вопрос о серверном запросе. При недоступности — локальная замена из карточки H05 в документе 12.
Локальная замена: На собственной SQLite-модели из 03_sql_binding.py сравни обычный и изменённый ввод формы с привязкой параметров и без неё. Объясни, какое условие исправление сохраняет. Продолжай один и тот же локальный пример по шагу текущего дня.</x:v>
      </x:c>
      <x:c r="H43" s="9" t="str">
        <x:v>Браузер, Nmap, Repeater</x:v>
      </x:c>
      <x:c r="I43" s="9" t="str">
        <x:v>RU05 OWASP ASVS 5.0.0 русский перевод — Инъекции
https://github.com/OWASP/ASVS
RU47 METANIT SQLite — Выборка и условие WHERE
https://metanit.com/sql/sqlite/</x:v>
      </x:c>
      <x:c r="J43" s="9" t="str">
        <x:v>Tier 0 Starting Point; R01; SELECT WHERE и HTTP.</x:v>
      </x:c>
      <x:c r="K43" s="9" t="str">
        <x:v>Что подтверждено собственным наблюдением, какой неверный контроль это ограничивает и смогу ли я повторить шаг без ИИ?</x:v>
      </x:c>
      <x:c r="L43" s="9" t="str">
        <x:v>2026-11-12_H05_note.md: вход, версия, наблюдение, контроль, подсказки и следующий шаг</x:v>
      </x:c>
      <x:c r="M43" s="12"/>
      <x:c r="N43" s="12"/>
      <x:c r="O43" s="12"/>
      <x:c r="P43" s="14"/>
      <x:c r="Q43" s="9" t="str">
        <x:v>H05 Appointment; шаг 1/2
https://app.hackthebox.com/starting-point</x:v>
      </x:c>
      <x:c r="R43" s="10" t="d">
        <x:v>2026-11-13T00:00:00.000Z</x:v>
      </x:c>
      <x:c r="S43" s="10" t="d">
        <x:v>2026-11-19T00:00:00.000Z</x:v>
      </x:c>
      <x:c r="T43" s="10" t="d">
        <x:v>2026-12-10T00:00:00.000Z</x:v>
      </x:c>
    </x:row>
    <x:row r="44" ht="76" hidden="0" customHeight="1">
      <x:c r="A44" s="10" t="d">
        <x:v>2026-11-13T00:00:00.000Z</x:v>
      </x:c>
      <x:c r="B44" s="9" t="str">
        <x:v>пт</x:v>
      </x:c>
      <x:c r="C44" s="9" t="n">
        <x:v>11</x:v>
      </x:c>
      <x:c r="D44" s="9" t="str">
        <x:v>изучение</x:v>
      </x:c>
      <x:c r="E44" s="9" t="str">
        <x:v>Appointment — шаг 2 из 2</x:v>
      </x:c>
      <x:c r="F44" s="9" t="str">
        <x:v>Изучить и проверить: HTTP форма; SQL-инъекция; серверная проверка входа.</x:v>
      </x:c>
      <x:c r="G44" s="9" t="str">
        <x:v>Продолжи Appointment до предусмотренного результата. Зафиксируй обычный и изменённый вход, объясни причину и способ исправления. Не копируй готовый write-up вместо наблюдения. При недоступности — локальная замена из карточки H05 в документе 12.
Локальная замена: На собственной SQLite-модели из 03_sql_binding.py сравни обычный и изменённый ввод формы с привязкой параметров и без неё. Объясни, какое условие исправление сохраняет. Продолжай один и тот же локальный пример по шагу текущего дня.</x:v>
      </x:c>
      <x:c r="H44" s="9" t="str">
        <x:v>Браузер, Nmap, Repeater</x:v>
      </x:c>
      <x:c r="I44" s="9" t="str">
        <x:v>RU05 OWASP ASVS 5.0.0 русский перевод — Инъекции
https://github.com/OWASP/ASVS
RU47 METANIT SQLite — Выборка и условие WHERE
https://metanit.com/sql/sqlite/</x:v>
      </x:c>
      <x:c r="J44" s="9" t="str">
        <x:v>Tier 0 Starting Point; R01; SELECT WHERE и HTTP.</x:v>
      </x:c>
      <x:c r="K44" s="9" t="str">
        <x:v>Что подтверждено собственным наблюдением, какой неверный контроль это ограничивает и смогу ли я повторить шаг без ИИ?</x:v>
      </x:c>
      <x:c r="L44" s="9" t="str">
        <x:v>2026-11-13_H05_note.md: вход, версия, наблюдение, контроль, подсказки и следующий шаг</x:v>
      </x:c>
      <x:c r="M44" s="12"/>
      <x:c r="N44" s="12"/>
      <x:c r="O44" s="12"/>
      <x:c r="P44" s="14"/>
      <x:c r="Q44" s="9" t="str">
        <x:v>H05 Appointment; шаг 2/2
https://app.hackthebox.com/starting-point</x:v>
      </x:c>
      <x:c r="R44" s="10" t="d">
        <x:v>2026-11-14T00:00:00.000Z</x:v>
      </x:c>
      <x:c r="S44" s="10" t="d">
        <x:v>2026-11-20T00:00:00.000Z</x:v>
      </x:c>
      <x:c r="T44" s="10" t="d">
        <x:v>2026-12-11T00:00:00.000Z</x:v>
      </x:c>
    </x:row>
    <x:row r="45" ht="52" hidden="0" customHeight="1">
      <x:c r="A45" s="10" t="d">
        <x:v>2026-11-14T00:00:00.000Z</x:v>
      </x:c>
      <x:c r="B45" s="9" t="str">
        <x:v>сб</x:v>
      </x:c>
      <x:c r="C45" s="9" t="n">
        <x:v>11</x:v>
      </x:c>
      <x:c r="D45" s="9" t="str">
        <x:v>повторение</x:v>
      </x:c>
      <x:c r="E45" s="9" t="str">
        <x:v>Sequel — mysql клиент и сервер</x:v>
      </x:c>
      <x:c r="F45" s="9" t="str">
        <x:v>Повторить и применить: MySQL клиент и сервер; аутентификация к БД; база таблица и SELECT.</x:v>
      </x:c>
      <x:c r="G45" s="9" t="str">
        <x:v>Пройди Sequel. Подтверди сервис БД и выполни предусмотренное заданием чтение. В отчёте отдельно объясни, почему это иной путь доступа, чем SQL-инъекция в HTTP-форме. При недоступности — локальная замена из карточки H06 в документе 12.
Локальная замена: В собственной SQLite-таблице выполни SELECT с WHERE и без него. По RU52 выпиши отличия подключения MySQL-клиента. Это локальный SQL-контроль, а не подтверждённое подключение к MySQL.</x:v>
      </x:c>
      <x:c r="H45" s="9" t="str">
        <x:v>Nmap, mysql или mariadb client</x:v>
      </x:c>
      <x:c r="I45" s="9" t="str">
        <x:v>RU52 METANIT Руководство по MySQL — Консольный клиент; базы и таблицы; SELECT
https://metanit.com/sql/mysql/</x:v>
      </x:c>
      <x:c r="J45" s="9" t="str">
        <x:v>Appointment; доступ к Tier 1; чтение SQL. Отличать прямой доступ к БД от SQL-инъекции.</x:v>
      </x:c>
      <x:c r="K45" s="9" t="str">
        <x:v>Что подтверждено собственным наблюдением, какой неверный контроль это ограничивает и смогу ли я повторить шаг без ИИ?</x:v>
      </x:c>
      <x:c r="L45" s="9" t="str">
        <x:v>2026-11-14_H06_note.md: вход, версия, наблюдение, контроль, подсказки и следующий шаг</x:v>
      </x:c>
      <x:c r="M45" s="12"/>
      <x:c r="N45" s="12"/>
      <x:c r="O45" s="12"/>
      <x:c r="P45" s="14"/>
      <x:c r="Q45" s="9" t="str">
        <x:v>H06 Sequel; шаг 1/1
https://app.hackthebox.com/starting-point</x:v>
      </x:c>
      <x:c r="R45" s="10" t="d">
        <x:v>2026-11-15T00:00:00.000Z</x:v>
      </x:c>
      <x:c r="S45" s="10" t="d">
        <x:v>2026-11-21T00:00:00.000Z</x:v>
      </x:c>
      <x:c r="T45" s="10" t="d">
        <x:v>2026-12-12T00:00:00.000Z</x:v>
      </x:c>
    </x:row>
    <x:row r="46" ht="28" hidden="0" customHeight="1">
      <x:c r="A46" s="10" t="d">
        <x:v>2026-11-15T00:00:00.000Z</x:v>
      </x:c>
      <x:c r="B46" s="9" t="str">
        <x:v>вс</x:v>
      </x:c>
      <x:c r="C46" s="9" t="n">
        <x:v>11</x:v>
      </x:c>
      <x:c r="D46" s="9" t="str">
        <x:v>повторение</x:v>
      </x:c>
      <x:c r="E46" s="9" t="str">
        <x:v>Повторение Исправление SQLi и сохранение правильного поиска</x:v>
      </x:c>
      <x:c r="F46" s="9" t="str">
        <x:v>Вспомнить Привязка параметра и объяснить один отрицательный контроль по готовой заметке.</x:v>
      </x:c>
      <x:c r="G46" s="9" t="str">
        <x:v>Сверить ответ с собственной записью. Новую лабораторию не открывать.</x:v>
      </x:c>
      <x:c r="H46" s="9" t="str">
        <x:v>SQLite, Python, Academy-lab</x:v>
      </x:c>
      <x:c r="I46" s="9" t="str">
        <x:v>Своя готовая заметка по теме; нового чтения нет</x:v>
      </x:c>
      <x:c r="J46" s="9" t="str">
        <x:v>Подтверждён предыдущий механизм; действуют условия темы и разрешённой лаборатории.</x:v>
      </x:c>
      <x:c r="K46" s="9" t="str">
        <x:v>Какой факт недели лучше всего подтверждает освоенный механизм?</x:v>
      </x:c>
      <x:c r="L46" s="9" t="str">
        <x:v>Карточка памяти по готовой заметке</x:v>
      </x:c>
      <x:c r="M46" s="12"/>
      <x:c r="N46" s="12"/>
      <x:c r="O46" s="12"/>
      <x:c r="P46" s="14"/>
      <x:c r="Q46" s="9" t="str">
        <x:v>своя заметка</x:v>
      </x:c>
      <x:c r="R46" s="10" t="d">
        <x:v>2026-11-16T00:00:00.000Z</x:v>
      </x:c>
      <x:c r="S46" s="10" t="d">
        <x:v>2026-11-22T00:00:00.000Z</x:v>
      </x:c>
      <x:c r="T46" s="10" t="d">
        <x:v>2026-12-14T00:00:00.000Z</x:v>
      </x:c>
    </x:row>
    <x:row r="47" ht="52" hidden="0" customHeight="1">
      <x:c r="A47" s="10" t="d">
        <x:v>2026-11-16T00:00:00.000Z</x:v>
      </x:c>
      <x:c r="B47" s="9" t="str">
        <x:v>пн</x:v>
      </x:c>
      <x:c r="C47" s="9" t="n">
        <x:v>12</x:v>
      </x:c>
      <x:c r="D47" s="9" t="str">
        <x:v>изучение</x:v>
      </x:c>
      <x:c r="E47" s="9" t="str">
        <x:v>Client side validation is bad! — функция javascript</x:v>
      </x:c>
      <x:c r="F47" s="9" t="str">
        <x:v>Изучить и проверить: Функция JavaScript; клиентская проверка; граница серверного доверия.</x:v>
      </x:c>
      <x:c r="G47" s="9" t="str">
        <x:v>Реши Client side validation is bad! Изучи выданную проверку в DevTools и запиши её вход, условие и результат. Объясни, где должен проверяться реальный доступ. При недоступности — локальная замена из карточки R27 в документе 12.
Локальная замена: В локальном HTML создай функцию проверки длины строки и вызови её на двух входах через DevTools. Объясни, почему такая функция не устанавливает серверные права.</x:v>
      </x:c>
      <x:c r="H47" s="9" t="str">
        <x:v>DevTools, просмотр выданного JavaScript</x:v>
      </x:c>
      <x:c r="I47" s="9" t="str">
        <x:v>RU53 Илья Кантор Функции JavaScript — Функции параметры return
https://learn.javascript.ru/function-basics
RU48 Илья Кантор Свойства узлов DOM — Свойства DOM
https://learn.javascript.ru/basic-dom-node-properties</x:v>
      </x:c>
      <x:c r="J47" s="9" t="str">
        <x:v>HTTP форма; базовый JavaScript и параметры функции.</x:v>
      </x:c>
      <x:c r="K47" s="9" t="str">
        <x:v>Что подтверждено собственным наблюдением, какой неверный контроль это ограничивает и смогу ли я повторить шаг без ИИ?</x:v>
      </x:c>
      <x:c r="L47" s="9" t="str">
        <x:v>2026-11-16_R27_note.md: вход, версия, наблюдение, контроль, подсказки и следующий шаг</x:v>
      </x:c>
      <x:c r="M47" s="12"/>
      <x:c r="N47" s="12"/>
      <x:c r="O47" s="12"/>
      <x:c r="P47" s="14"/>
      <x:c r="Q47" s="9" t="str">
        <x:v>R27 Client side validation is bad!; шаг 1/1
https://ringzer0ctf.com/challenges/27</x:v>
      </x:c>
      <x:c r="R47" s="10" t="d">
        <x:v>2026-11-17T00:00:00.000Z</x:v>
      </x:c>
      <x:c r="S47" s="10" t="d">
        <x:v>2026-11-23T00:00:00.000Z</x:v>
      </x:c>
      <x:c r="T47" s="10" t="d">
        <x:v>2026-12-14T00:00:00.000Z</x:v>
      </x:c>
    </x:row>
    <x:row r="48" ht="76" hidden="0" customHeight="1">
      <x:c r="A48" s="10" t="d">
        <x:v>2026-11-17T00:00:00.000Z</x:v>
      </x:c>
      <x:c r="B48" s="9" t="str">
        <x:v>вт</x:v>
      </x:c>
      <x:c r="C48" s="9" t="n">
        <x:v>12</x:v>
      </x:c>
      <x:c r="D48" s="9" t="str">
        <x:v>изучение</x:v>
      </x:c>
      <x:c r="E48" s="9" t="str">
        <x:v>Hashing is more secure — хэш и проверка значения</x:v>
      </x:c>
      <x:c r="F48" s="9" t="str">
        <x:v>Изучить и проверить: Хэш и проверка значения; данные в браузере; секрет и наблюдаемое значение.</x:v>
      </x:c>
      <x:c r="G48" s="9" t="str">
        <x:v>Реши Hashing is more secure. Проследи данные выданной проверки и воспроизведи один шаг на своём тестовом значении. Отдели вычисление хэша от защиты доступа. При недоступности — локальная замена из карточки R30 в документе 12.
Локальная замена: На двух собственных строках сравни исходные bytes и их хэши в Python. Нарисуй поток браузер проверка сервер и укажи, какие данные остаются видимыми клиенту.</x:v>
      </x:c>
      <x:c r="H48" s="9" t="str">
        <x:v>DevTools, Python для своей проверки</x:v>
      </x:c>
      <x:c r="I48" s="9" t="str">
        <x:v>RU53 Илья Кантор Функции JavaScript — Параметры и возвращаемое значение
https://learn.javascript.ru/function-basics
RU29 Андрей Коновалов CTF на Физтехе — 02-crypto: хэш и представление данных
https://github.com/xairy/mipt-ctf</x:v>
      </x:c>
      <x:c r="J48" s="9" t="str">
        <x:v>R27; хэширование и хранение паролей из недели 7.</x:v>
      </x:c>
      <x:c r="K48" s="9" t="str">
        <x:v>Что подтверждено собственным наблюдением, какой неверный контроль это ограничивает и смогу ли я повторить шаг без ИИ?</x:v>
      </x:c>
      <x:c r="L48" s="9" t="str">
        <x:v>2026-11-17_R30_note.md: вход, версия, наблюдение, контроль, подсказки и следующий шаг</x:v>
      </x:c>
      <x:c r="M48" s="12"/>
      <x:c r="N48" s="12"/>
      <x:c r="O48" s="12"/>
      <x:c r="P48" s="14"/>
      <x:c r="Q48" s="9" t="str">
        <x:v>R30 Hashing is more secure; шаг 1/1
https://ringzer0ctf.com/challenges/30</x:v>
      </x:c>
      <x:c r="R48" s="10" t="d">
        <x:v>2026-11-18T00:00:00.000Z</x:v>
      </x:c>
      <x:c r="S48" s="10" t="d">
        <x:v>2026-11-24T00:00:00.000Z</x:v>
      </x:c>
      <x:c r="T48" s="10" t="d">
        <x:v>2026-12-15T00:00:00.000Z</x:v>
      </x:c>
    </x:row>
    <x:row r="49" ht="52" hidden="0" customHeight="1">
      <x:c r="A49" s="10" t="d">
        <x:v>2026-11-18T00:00:00.000Z</x:v>
      </x:c>
      <x:c r="B49" s="9" t="str">
        <x:v>ср</x:v>
      </x:c>
      <x:c r="C49" s="9" t="n">
        <x:v>12</x:v>
      </x:c>
      <x:c r="D49" s="9" t="str">
        <x:v>изучение</x:v>
      </x:c>
      <x:c r="E49" s="9" t="str">
        <x:v>Then obfuscation is more secure — обфускация</x:v>
      </x:c>
      <x:c r="F49" s="9" t="str">
        <x:v>Изучить и проверить: Обфускация; поток данных; проверка восстановленной функции.</x:v>
      </x:c>
      <x:c r="G49" s="9" t="str">
        <x:v>Реши Then obfuscation is more secure. Восстанови только нужный участок выданной проверки, дай переменным смысловые имена и проверь модель на двух значениях. При недоступности — локальная замена из карточки R31 в документе 12.
Локальная замена: Для собственной короткой JavaScript-функции переименуй переменные и раздели выражения на шаги. Подтверди одинаковый результат исходной и читаемой версии на двух входах.</x:v>
      </x:c>
      <x:c r="H49" s="9" t="str">
        <x:v>DevTools, редактор JavaScript</x:v>
      </x:c>
      <x:c r="I49" s="9" t="str">
        <x:v>RU53 Илья Кантор Функции JavaScript — Локальные переменные параметры return
https://learn.javascript.ru/function-basics</x:v>
      </x:c>
      <x:c r="J49" s="9" t="str">
        <x:v>R27 и R30; функции и строки JavaScript.</x:v>
      </x:c>
      <x:c r="K49" s="9" t="str">
        <x:v>Что подтверждено собственным наблюдением, какой неверный контроль это ограничивает и смогу ли я повторить шаг без ИИ?</x:v>
      </x:c>
      <x:c r="L49" s="9" t="str">
        <x:v>2026-11-18_R31_note.md: вход, версия, наблюдение, контроль, подсказки и следующий шаг</x:v>
      </x:c>
      <x:c r="M49" s="12"/>
      <x:c r="N49" s="12"/>
      <x:c r="O49" s="12"/>
      <x:c r="P49" s="14"/>
      <x:c r="Q49" s="9" t="str">
        <x:v>R31 Then obfuscation is more secure; шаг 1/1
https://ringzer0ctf.com/challenges/31</x:v>
      </x:c>
      <x:c r="R49" s="10" t="d">
        <x:v>2026-11-19T00:00:00.000Z</x:v>
      </x:c>
      <x:c r="S49" s="10" t="d">
        <x:v>2026-11-25T00:00:00.000Z</x:v>
      </x:c>
      <x:c r="T49" s="10" t="d">
        <x:v>2026-12-16T00:00:00.000Z</x:v>
      </x:c>
    </x:row>
    <x:row r="50" ht="88" hidden="0" customHeight="1">
      <x:c r="A50" s="10" t="d">
        <x:v>2026-11-19T00:00:00.000Z</x:v>
      </x:c>
      <x:c r="B50" s="9" t="str">
        <x:v>чт</x:v>
      </x:c>
      <x:c r="C50" s="9" t="n">
        <x:v>12</x:v>
      </x:c>
      <x:c r="D50" s="9" t="str">
        <x:v>изучение</x:v>
      </x:c>
      <x:c r="E50" s="9" t="str">
        <x:v>XSS Challenge 1 — шаг 1 из 3</x:v>
      </x:c>
      <x:c r="F50" s="9" t="str">
        <x:v>Изучить и проверить: Контекст HTML и JavaScript; источник и место вывода; браузерное исполнение и исправление.</x:v>
      </x:c>
      <x:c r="G50" s="9" t="str">
        <x:v>Открой XSS Challenge 1. По условию выдели выданный sandbox, источник данных и место вывода. Зафиксируй исходный DOM и контекст. При недоступности — локальная замена из карточки R96 в документе 12.
Локальная замена: На локальной HTML-странице сравни вывод собственной строки через textContent и innerHTML без обращения к внешним данным. Сохрани исходный DOM и объясни роль контекста и кодирования. Продолжай один и тот же локальный пример по шагу текущего дня.</x:v>
      </x:c>
      <x:c r="H50" s="9" t="str">
        <x:v>Браузер, DevTools, sandbox RingZer0CTF</x:v>
      </x:c>
      <x:c r="I50" s="9" t="str">
        <x:v>RU48 Илья Кантор Свойства узлов DOM — DOM свойства узлов
https://learn.javascript.ru/basic-dom-node-properties
RU09 MDN Content Security Policy — CSP и границы защиты
https://developer.mozilla.org/ru/docs/Web/HTTP/Guides/CSP
RU05 OWASP ASVS 5.0.0 русский перевод — Вывод и браузерные инъекции
https://github.com/OWASP/ASVS</x:v>
      </x:c>
      <x:c r="J50" s="9" t="str">
        <x:v>R27–R31; DOM; кодирование вывода и CSP. Используется только sandbox задачи.</x:v>
      </x:c>
      <x:c r="K50" s="9" t="str">
        <x:v>Что подтверждено собственным наблюдением, какой неверный контроль это ограничивает и смогу ли я повторить шаг без ИИ?</x:v>
      </x:c>
      <x:c r="L50" s="9" t="str">
        <x:v>2026-11-19_R96_note.md: вход, версия, наблюдение, контроль, подсказки и следующий шаг</x:v>
      </x:c>
      <x:c r="M50" s="12"/>
      <x:c r="N50" s="12"/>
      <x:c r="O50" s="12"/>
      <x:c r="P50" s="14"/>
      <x:c r="Q50" s="9" t="str">
        <x:v>R96 XSS Challenge 1; шаг 1/3
https://ringzer0ctf.com/challenges/96</x:v>
      </x:c>
      <x:c r="R50" s="10" t="d">
        <x:v>2026-11-20T00:00:00.000Z</x:v>
      </x:c>
      <x:c r="S50" s="10" t="d">
        <x:v>2026-11-26T00:00:00.000Z</x:v>
      </x:c>
      <x:c r="T50" s="10" t="d">
        <x:v>2026-12-17T00:00:00.000Z</x:v>
      </x:c>
    </x:row>
    <x:row r="51" ht="88" hidden="0" customHeight="1">
      <x:c r="A51" s="10" t="d">
        <x:v>2026-11-20T00:00:00.000Z</x:v>
      </x:c>
      <x:c r="B51" s="9" t="str">
        <x:v>пт</x:v>
      </x:c>
      <x:c r="C51" s="9" t="n">
        <x:v>12</x:v>
      </x:c>
      <x:c r="D51" s="9" t="str">
        <x:v>изучение</x:v>
      </x:c>
      <x:c r="E51" s="9" t="str">
        <x:v>XSS Challenge 1 — шаг 2 из 3</x:v>
      </x:c>
      <x:c r="F51" s="9" t="str">
        <x:v>Изучить и проверить: Контекст HTML и JavaScript; источник и место вывода; браузерное исполнение и исправление.</x:v>
      </x:c>
      <x:c r="G51" s="9" t="str">
        <x:v>Продолжи тот же XSS Challenge 1. Проверь одну гипотезу средствами, предусмотренными заданием; сохрани наблюдение и нерабочий контроль. При недоступности — локальная замена из карточки R96 в документе 12.
Локальная замена: На локальной HTML-странице сравни вывод собственной строки через textContent и innerHTML без обращения к внешним данным. Сохрани исходный DOM и объясни роль контекста и кодирования. Продолжай один и тот же локальный пример по шагу текущего дня.</x:v>
      </x:c>
      <x:c r="H51" s="9" t="str">
        <x:v>Браузер, DevTools, sandbox RingZer0CTF</x:v>
      </x:c>
      <x:c r="I51" s="9" t="str">
        <x:v>RU48 Илья Кантор Свойства узлов DOM — DOM свойства узлов
https://learn.javascript.ru/basic-dom-node-properties
RU09 MDN Content Security Policy — CSP и границы защиты
https://developer.mozilla.org/ru/docs/Web/HTTP/Guides/CSP
RU05 OWASP ASVS 5.0.0 русский перевод — Вывод и браузерные инъекции
https://github.com/OWASP/ASVS</x:v>
      </x:c>
      <x:c r="J51" s="9" t="str">
        <x:v>R27–R31; DOM; кодирование вывода и CSP. Используется только sandbox задачи.</x:v>
      </x:c>
      <x:c r="K51" s="9" t="str">
        <x:v>Что подтверждено собственным наблюдением, какой неверный контроль это ограничивает и смогу ли я повторить шаг без ИИ?</x:v>
      </x:c>
      <x:c r="L51" s="9" t="str">
        <x:v>2026-11-20_R96_note.md: вход, версия, наблюдение, контроль, подсказки и следующий шаг</x:v>
      </x:c>
      <x:c r="M51" s="12"/>
      <x:c r="N51" s="12"/>
      <x:c r="O51" s="12"/>
      <x:c r="P51" s="14"/>
      <x:c r="Q51" s="9" t="str">
        <x:v>R96 XSS Challenge 1; шаг 2/3
https://ringzer0ctf.com/challenges/96</x:v>
      </x:c>
      <x:c r="R51" s="10" t="d">
        <x:v>2026-11-21T00:00:00.000Z</x:v>
      </x:c>
      <x:c r="S51" s="10" t="d">
        <x:v>2026-11-27T00:00:00.000Z</x:v>
      </x:c>
      <x:c r="T51" s="10" t="d">
        <x:v>2026-12-18T00:00:00.000Z</x:v>
      </x:c>
    </x:row>
    <x:row r="52" ht="88" hidden="0" customHeight="1">
      <x:c r="A52" s="10" t="d">
        <x:v>2026-11-21T00:00:00.000Z</x:v>
      </x:c>
      <x:c r="B52" s="9" t="str">
        <x:v>сб</x:v>
      </x:c>
      <x:c r="C52" s="9" t="n">
        <x:v>12</x:v>
      </x:c>
      <x:c r="D52" s="9" t="str">
        <x:v>повторение</x:v>
      </x:c>
      <x:c r="E52" s="9" t="str">
        <x:v>XSS Challenge 1 — шаг 3 из 3</x:v>
      </x:c>
      <x:c r="F52" s="9" t="str">
        <x:v>Повторить и применить: Контекст HTML и JavaScript; источник и место вывода; браузерное исполнение и исправление.</x:v>
      </x:c>
      <x:c r="G52" s="9" t="str">
        <x:v>Заверши XSS Challenge 1 или сохрани первый незавершённый шаг. Оформи источник контекст результат и требуемое кодирование; flag без объяснения не закрывает учебный зачёт. При недоступности — локальная замена из карточки R96 в документе 12.
Локальная замена: На локальной HTML-странице сравни вывод собственной строки через textContent и innerHTML без обращения к внешним данным. Сохрани исходный DOM и объясни роль контекста и кодирования. Продолжай один и тот же локальный пример по шагу текущего дня.</x:v>
      </x:c>
      <x:c r="H52" s="9" t="str">
        <x:v>Браузер, DevTools, sandbox RingZer0CTF</x:v>
      </x:c>
      <x:c r="I52" s="9" t="str">
        <x:v>RU48 Илья Кантор Свойства узлов DOM — DOM свойства узлов
https://learn.javascript.ru/basic-dom-node-properties
RU09 MDN Content Security Policy — CSP и границы защиты
https://developer.mozilla.org/ru/docs/Web/HTTP/Guides/CSP
RU05 OWASP ASVS 5.0.0 русский перевод — Вывод и браузерные инъекции
https://github.com/OWASP/ASVS</x:v>
      </x:c>
      <x:c r="J52" s="9" t="str">
        <x:v>R27–R31; DOM; кодирование вывода и CSP. Используется только sandbox задачи.</x:v>
      </x:c>
      <x:c r="K52" s="9" t="str">
        <x:v>Что подтверждено собственным наблюдением, какой неверный контроль это ограничивает и смогу ли я повторить шаг без ИИ?</x:v>
      </x:c>
      <x:c r="L52" s="9" t="str">
        <x:v>2026-11-21_R96_note.md: вход, версия, наблюдение, контроль, подсказки и следующий шаг</x:v>
      </x:c>
      <x:c r="M52" s="12"/>
      <x:c r="N52" s="12"/>
      <x:c r="O52" s="12"/>
      <x:c r="P52" s="14"/>
      <x:c r="Q52" s="9" t="str">
        <x:v>R96 XSS Challenge 1; шаг 3/3
https://ringzer0ctf.com/challenges/96</x:v>
      </x:c>
      <x:c r="R52" s="10" t="d">
        <x:v>2026-11-22T00:00:00.000Z</x:v>
      </x:c>
      <x:c r="S52" s="10" t="d">
        <x:v>2026-11-28T00:00:00.000Z</x:v>
      </x:c>
      <x:c r="T52" s="10" t="d">
        <x:v>2026-12-19T00:00:00.000Z</x:v>
      </x:c>
    </x:row>
    <x:row r="53" ht="28" hidden="0" customHeight="1">
      <x:c r="A53" s="10" t="d">
        <x:v>2026-11-22T00:00:00.000Z</x:v>
      </x:c>
      <x:c r="B53" s="9" t="str">
        <x:v>вс</x:v>
      </x:c>
      <x:c r="C53" s="9" t="n">
        <x:v>12</x:v>
      </x:c>
      <x:c r="D53" s="9" t="str">
        <x:v>повторение</x:v>
      </x:c>
      <x:c r="E53" s="9" t="str">
        <x:v>Повторение Самостоятельный разбор одного механизма XSS или CSRF</x:v>
      </x:c>
      <x:c r="F53" s="9" t="str">
        <x:v>Вспомнить Для выбранной задачи: путь данных, контекст, предусловие, исправление и контроль и объяснить один отрицательный контроль по готовой заметке.</x:v>
      </x:c>
      <x:c r="G53" s="9" t="str">
        <x:v>Сверить ответ с собственной записью. Новую лабораторию не открывать.</x:v>
      </x:c>
      <x:c r="H53" s="9" t="str">
        <x:v>Браузер, свой HTML, Academy-lab</x:v>
      </x:c>
      <x:c r="I53" s="9" t="str">
        <x:v>Своя готовая заметка по теме; нового чтения нет</x:v>
      </x:c>
      <x:c r="J53" s="9" t="str">
        <x:v>Подтверждён предыдущий механизм; действуют условия темы и разрешённой лаборатории.</x:v>
      </x:c>
      <x:c r="K53" s="9" t="str">
        <x:v>Какой факт недели лучше всего подтверждает освоенный механизм?</x:v>
      </x:c>
      <x:c r="L53" s="9" t="str">
        <x:v>Карточка памяти по готовой заметке</x:v>
      </x:c>
      <x:c r="M53" s="12"/>
      <x:c r="N53" s="12"/>
      <x:c r="O53" s="12"/>
      <x:c r="P53" s="14"/>
      <x:c r="Q53" s="9" t="str">
        <x:v>своя заметка</x:v>
      </x:c>
      <x:c r="R53" s="10" t="d">
        <x:v>2026-11-23T00:00:00.000Z</x:v>
      </x:c>
      <x:c r="S53" s="10" t="d">
        <x:v>2026-11-29T00:00:00.000Z</x:v>
      </x:c>
      <x:c r="T53" s="10" t="d">
        <x:v>2026-12-21T00:00:00.000Z</x:v>
      </x:c>
    </x:row>
    <x:row r="54" ht="40" hidden="0" customHeight="1">
      <x:c r="A54" s="10" t="d">
        <x:v>2026-11-23T00:00:00.000Z</x:v>
      </x:c>
      <x:c r="B54" s="9" t="str">
        <x:v>пн</x:v>
      </x:c>
      <x:c r="C54" s="9" t="n">
        <x:v>13</x:v>
      </x:c>
      <x:c r="D54" s="9" t="str">
        <x:v>изучение</x:v>
      </x:c>
      <x:c r="E54" s="9" t="str">
        <x:v>Аутентификация и матрица доступа двух пользователей</x:v>
      </x:c>
      <x:c r="F54" s="9" t="str">
        <x:v>Разобрать: Личность пользователя; авторизация операции; объект и владелец; серверное решение о доступе.</x:v>
      </x:c>
      <x:c r="G54" s="9" t="str">
        <x:v>В собственной lab запиши двух пользователей, их объекты и разрешения. Предскажи четыре сочетания субъект/объект.</x:v>
      </x:c>
      <x:c r="H54" s="9" t="str">
        <x:v>Burp, два test-account</x:v>
      </x:c>
      <x:c r="I54" s="9" t="str">
        <x:v>RU05 OWASP ASVS 5.0.0 русский перевод — Аутентификация; сессии; авторизация
https://github.com/OWASP/ASVS</x:v>
      </x:c>
      <x:c r="J54" s="9" t="str">
        <x:v>Подтверждён предыдущий механизм; действуют условия темы и разрешённой лаборатории.</x:v>
      </x:c>
      <x:c r="K54" s="9" t="str">
        <x:v>Может ли успешно вошедший пользователь не иметь доступа к объекту?</x:v>
      </x:c>
      <x:c r="L54" s="9" t="str">
        <x:v>2026-11-23_note.md: вход, ожидание, факт, вывод, контроль</x:v>
      </x:c>
      <x:c r="M54" s="12"/>
      <x:c r="N54" s="12"/>
      <x:c r="O54" s="12"/>
      <x:c r="P54" s="14"/>
      <x:c r="Q54" s="9" t="str">
        <x:v>RU05</x:v>
      </x:c>
      <x:c r="R54" s="10" t="d">
        <x:v>2026-11-24T00:00:00.000Z</x:v>
      </x:c>
      <x:c r="S54" s="10" t="d">
        <x:v>2026-11-30T00:00:00.000Z</x:v>
      </x:c>
      <x:c r="T54" s="10" t="d">
        <x:v>2026-12-21T00:00:00.000Z</x:v>
      </x:c>
    </x:row>
    <x:row r="55" ht="40" hidden="0" customHeight="1">
      <x:c r="A55" s="10" t="d">
        <x:v>2026-11-24T00:00:00.000Z</x:v>
      </x:c>
      <x:c r="B55" s="9" t="str">
        <x:v>вт</x:v>
      </x:c>
      <x:c r="C55" s="9" t="n">
        <x:v>13</x:v>
      </x:c>
      <x:c r="D55" s="9" t="str">
        <x:v>изучение</x:v>
      </x:c>
      <x:c r="E55" s="9" t="str">
        <x:v>Контроль владения объектом в учебном IDOR-примере</x:v>
      </x:c>
      <x:c r="F55" s="9" t="str">
        <x:v>Разобрать: Доступ A к объекту A; доступ A к объекту B; идентификатор объекта; проверка владельца.</x:v>
      </x:c>
      <x:c r="G55" s="9" t="str">
        <x:v>В lab сравни A→A и A→B на своих тестовых объектах. Сохрани метод, ответ и проверяемое состояние.</x:v>
      </x:c>
      <x:c r="H55" s="9" t="str">
        <x:v>Burp, два test-account</x:v>
      </x:c>
      <x:c r="I55" s="9" t="str">
        <x:v>RU05 OWASP ASVS 5.0.0 русский перевод — Аутентификация; сессии; авторизация
https://github.com/OWASP/ASVS</x:v>
      </x:c>
      <x:c r="J55" s="9" t="str">
        <x:v>Подтверждён предыдущий механизм; действуют условия темы и разрешённой лаборатории.</x:v>
      </x:c>
      <x:c r="K55" s="9" t="str">
        <x:v>Какой контроль подтверждает нарушение владения?</x:v>
      </x:c>
      <x:c r="L55" s="9" t="str">
        <x:v>2026-11-24_note.md: вход, ожидание, факт, вывод, контроль</x:v>
      </x:c>
      <x:c r="M55" s="12"/>
      <x:c r="N55" s="12"/>
      <x:c r="O55" s="12"/>
      <x:c r="P55" s="14"/>
      <x:c r="Q55" s="9" t="str">
        <x:v>RU05</x:v>
      </x:c>
      <x:c r="R55" s="10" t="d">
        <x:v>2026-11-25T00:00:00.000Z</x:v>
      </x:c>
      <x:c r="S55" s="10" t="d">
        <x:v>2026-12-01T00:00:00.000Z</x:v>
      </x:c>
      <x:c r="T55" s="10" t="d">
        <x:v>2026-12-22T00:00:00.000Z</x:v>
      </x:c>
    </x:row>
    <x:row r="56" ht="76" hidden="0" customHeight="1">
      <x:c r="A56" s="10" t="d">
        <x:v>2026-11-25T00:00:00.000Z</x:v>
      </x:c>
      <x:c r="B56" s="9" t="str">
        <x:v>ср</x:v>
      </x:c>
      <x:c r="C56" s="9" t="n">
        <x:v>13</x:v>
      </x:c>
      <x:c r="D56" s="9" t="str">
        <x:v>изучение</x:v>
      </x:c>
      <x:c r="E56" s="9" t="str">
        <x:v>OAuth и OIDC как разные уровни доступа и входа</x:v>
      </x:c>
      <x:c r="F56" s="9" t="str">
        <x:v>Разобрать: Клиент; authorization server; resource server; authorization code и PKCE.</x:v>
      </x:c>
      <x:c r="G56" s="9" t="str">
        <x:v>Нарисуй один учебный authorization code flow. Подпиши, где проверяются redirect URI, state и PKCE. Используй схему и собственные синтетические JSON без реальных токенов.</x:v>
      </x:c>
      <x:c r="H56" s="9" t="str">
        <x:v>Схема, локальные JSON</x:v>
      </x:c>
      <x:c r="I56" s="9" t="str">
        <x:v>RU17 Microsoft Learn OAuth 2.0 код авторизации — Код авторизации и PKCE
https://learn.microsoft.com/ru-ru/entra/identity-platform/v2-oauth2-auth-code-flow
RU18 Microsoft Learn OpenID Connect — ID token и проверка входа
https://learn.microsoft.com/ru-ru/entra/identity-platform/v2-protocols-oidc</x:v>
      </x:c>
      <x:c r="J56" s="9" t="str">
        <x:v>Подтверждён предыдущий механизм; действуют условия темы и разрешённой лаборатории.</x:v>
      </x:c>
      <x:c r="K56" s="9" t="str">
        <x:v>Почему access token нельзя автоматически считать подтверждением личности для любого приложения?</x:v>
      </x:c>
      <x:c r="L56" s="9" t="str">
        <x:v>Схема OAuth OIDC с тремя проверками привязки</x:v>
      </x:c>
      <x:c r="M56" s="12"/>
      <x:c r="N56" s="12"/>
      <x:c r="O56" s="12"/>
      <x:c r="P56" s="14"/>
      <x:c r="Q56" s="9" t="str">
        <x:v>RU17 RU18</x:v>
      </x:c>
      <x:c r="R56" s="10" t="d">
        <x:v>2026-11-26T00:00:00.000Z</x:v>
      </x:c>
      <x:c r="S56" s="10" t="d">
        <x:v>2026-12-02T00:00:00.000Z</x:v>
      </x:c>
      <x:c r="T56" s="10" t="d">
        <x:v>2026-12-23T00:00:00.000Z</x:v>
      </x:c>
    </x:row>
    <x:row r="57" ht="64" hidden="0" customHeight="1">
      <x:c r="A57" s="10" t="d">
        <x:v>2026-11-26T00:00:00.000Z</x:v>
      </x:c>
      <x:c r="B57" s="9" t="str">
        <x:v>чт</x:v>
      </x:c>
      <x:c r="C57" s="9" t="n">
        <x:v>13</x:v>
      </x:c>
      <x:c r="D57" s="9" t="str">
        <x:v>изучение</x:v>
      </x:c>
      <x:c r="E57" s="9" t="str">
        <x:v>Проверка JWT и привязка токена к получателю</x:v>
      </x:c>
      <x:c r="F57" s="9" t="str">
        <x:v>Разобрать: Подпись; issuer; audience; срок действия; доверенный источник ключа.</x:v>
      </x:c>
      <x:c r="G57" s="9" t="str">
        <x:v>Составь таблицу принятия для четырёх синтетических токенов: нормального, с другим получателем, другим issuer и неподтверждённой подписью. Декодирование и проверку подписи отметь отдельными действиями.</x:v>
      </x:c>
      <x:c r="H57" s="9" t="str">
        <x:v>Локальные JSON, Python</x:v>
      </x:c>
      <x:c r="I57" s="9" t="str">
        <x:v>RU18 Microsoft Learn OpenID Connect — Проверка ID token и claims
https://learn.microsoft.com/ru-ru/entra/identity-platform/v2-protocols-oidc
RU05 OWASP ASVS 5.0.0 русский перевод — Самодостаточные токены и авторизация
https://github.com/OWASP/ASVS</x:v>
      </x:c>
      <x:c r="J57" s="9" t="str">
        <x:v>Подтверждён предыдущий механизм; действуют условия темы и разрешённой лаборатории.</x:v>
      </x:c>
      <x:c r="K57" s="9" t="str">
        <x:v>Почему читаемый payload не доказывает подлинность токена?</x:v>
      </x:c>
      <x:c r="L57" s="9" t="str">
        <x:v>Матрица четырёх токенов с причинами решения</x:v>
      </x:c>
      <x:c r="M57" s="12"/>
      <x:c r="N57" s="12"/>
      <x:c r="O57" s="12"/>
      <x:c r="P57" s="14"/>
      <x:c r="Q57" s="9" t="str">
        <x:v>RU18 RU05</x:v>
      </x:c>
      <x:c r="R57" s="10" t="d">
        <x:v>2026-11-27T00:00:00.000Z</x:v>
      </x:c>
      <x:c r="S57" s="10" t="d">
        <x:v>2026-12-03T00:00:00.000Z</x:v>
      </x:c>
      <x:c r="T57" s="10" t="d">
        <x:v>2026-12-24T00:00:00.000Z</x:v>
      </x:c>
    </x:row>
    <x:row r="58" ht="40" hidden="0" customHeight="1">
      <x:c r="A58" s="10" t="d">
        <x:v>2026-11-27T00:00:00.000Z</x:v>
      </x:c>
      <x:c r="B58" s="9" t="str">
        <x:v>пт</x:v>
      </x:c>
      <x:c r="C58" s="9" t="n">
        <x:v>13</x:v>
      </x:c>
      <x:c r="D58" s="9" t="str">
        <x:v>изучение</x:v>
      </x:c>
      <x:c r="E58" s="9" t="str">
        <x:v>Состояния login reset и logout в учебном приложении</x:v>
      </x:c>
      <x:c r="F58" s="9" t="str">
        <x:v>Разобрать: Выдача токена; восстановление доступа; завершение сессии; срок и отзыв токена.</x:v>
      </x:c>
      <x:c r="G58" s="9" t="str">
        <x:v>Нарисуй переходы своей lab. Проверь один разрешённый сценарий восстановления и logout, запиши состояние старого токена.</x:v>
      </x:c>
      <x:c r="H58" s="9" t="str">
        <x:v>Burp, два test-account</x:v>
      </x:c>
      <x:c r="I58" s="9" t="str">
        <x:v>RU05 OWASP ASVS 5.0.0 русский перевод — Аутентификация; сессии; авторизация
https://github.com/OWASP/ASVS</x:v>
      </x:c>
      <x:c r="J58" s="9" t="str">
        <x:v>Подтверждён предыдущий механизм; действуют условия темы и разрешённой лаборатории.</x:v>
      </x:c>
      <x:c r="K58" s="9" t="str">
        <x:v>Какое состояние останется опасным после формального logout?</x:v>
      </x:c>
      <x:c r="L58" s="9" t="str">
        <x:v>2026-11-27_note.md: вход, ожидание, факт, вывод, контроль</x:v>
      </x:c>
      <x:c r="M58" s="12"/>
      <x:c r="N58" s="12"/>
      <x:c r="O58" s="12"/>
      <x:c r="P58" s="14"/>
      <x:c r="Q58" s="9" t="str">
        <x:v>RU05</x:v>
      </x:c>
      <x:c r="R58" s="10" t="d">
        <x:v>2026-11-28T00:00:00.000Z</x:v>
      </x:c>
      <x:c r="S58" s="10" t="d">
        <x:v>2026-12-04T00:00:00.000Z</x:v>
      </x:c>
      <x:c r="T58" s="10" t="d">
        <x:v>2026-12-25T00:00:00.000Z</x:v>
      </x:c>
    </x:row>
    <x:row r="59" ht="40" hidden="0" customHeight="1">
      <x:c r="A59" s="10" t="d">
        <x:v>2026-11-28T00:00:00.000Z</x:v>
      </x:c>
      <x:c r="B59" s="9" t="str">
        <x:v>сб</x:v>
      </x:c>
      <x:c r="C59" s="9" t="n">
        <x:v>13</x:v>
      </x:c>
      <x:c r="D59" s="9" t="str">
        <x:v>повторение</x:v>
      </x:c>
      <x:c r="E59" s="9" t="str">
        <x:v>Исправление нарушения доступа и проверка владельца</x:v>
      </x:c>
      <x:c r="F59" s="9" t="str">
        <x:v>Повторить: Запрос владельца; чужой запрос; серверное правило; сохранение разрешённой функции.</x:v>
      </x:c>
      <x:c r="G59" s="9" t="str">
        <x:v>Оформи один finding авторизации с матрицей и ответами. На своём примере добавь проверку и повтори A→A/A→B.</x:v>
      </x:c>
      <x:c r="H59" s="9" t="str">
        <x:v>Burp, два test-account</x:v>
      </x:c>
      <x:c r="I59" s="9" t="str">
        <x:v>RU05 OWASP ASVS 5.0.0 русский перевод — Аутентификация; сессии; авторизация
https://github.com/OWASP/ASVS</x:v>
      </x:c>
      <x:c r="J59" s="9" t="str">
        <x:v>Подтверждён предыдущий механизм; действуют условия темы и разрешённой лаборатории.</x:v>
      </x:c>
      <x:c r="K59" s="9" t="str">
        <x:v>Как подтвердить одновременно исправление и доступ владельца?</x:v>
      </x:c>
      <x:c r="L59" s="9" t="str">
        <x:v>2026-11-28_note.md: вход, ожидание, факт, вывод, контроль</x:v>
      </x:c>
      <x:c r="M59" s="12"/>
      <x:c r="N59" s="12"/>
      <x:c r="O59" s="12"/>
      <x:c r="P59" s="14"/>
      <x:c r="Q59" s="9" t="str">
        <x:v>RU05</x:v>
      </x:c>
      <x:c r="R59" s="10" t="d">
        <x:v>2026-11-29T00:00:00.000Z</x:v>
      </x:c>
      <x:c r="S59" s="10" t="d">
        <x:v>2026-12-05T00:00:00.000Z</x:v>
      </x:c>
      <x:c r="T59" s="10" t="d">
        <x:v>2026-12-26T00:00:00.000Z</x:v>
      </x:c>
    </x:row>
    <x:row r="60" ht="28" hidden="0" customHeight="1">
      <x:c r="A60" s="10" t="d">
        <x:v>2026-11-29T00:00:00.000Z</x:v>
      </x:c>
      <x:c r="B60" s="9" t="str">
        <x:v>вс</x:v>
      </x:c>
      <x:c r="C60" s="9" t="n">
        <x:v>13</x:v>
      </x:c>
      <x:c r="D60" s="9" t="str">
        <x:v>повторение</x:v>
      </x:c>
      <x:c r="E60" s="9" t="str">
        <x:v>Повторение Исправление нарушения доступа и проверка владельца</x:v>
      </x:c>
      <x:c r="F60" s="9" t="str">
        <x:v>Вспомнить Запрос владельца и объяснить один отрицательный контроль по готовой заметке.</x:v>
      </x:c>
      <x:c r="G60" s="9" t="str">
        <x:v>Сверить ответ с собственной записью. Новую лабораторию не открывать.</x:v>
      </x:c>
      <x:c r="H60" s="9" t="str">
        <x:v>Burp, два test-account</x:v>
      </x:c>
      <x:c r="I60" s="9" t="str">
        <x:v>Своя готовая заметка по теме; нового чтения нет</x:v>
      </x:c>
      <x:c r="J60" s="9" t="str">
        <x:v>Подтверждён предыдущий механизм; действуют условия темы и разрешённой лаборатории.</x:v>
      </x:c>
      <x:c r="K60" s="9" t="str">
        <x:v>Какой факт недели лучше всего подтверждает освоенный механизм?</x:v>
      </x:c>
      <x:c r="L60" s="9" t="str">
        <x:v>Карточка памяти по готовой заметке</x:v>
      </x:c>
      <x:c r="M60" s="12"/>
      <x:c r="N60" s="12"/>
      <x:c r="O60" s="12"/>
      <x:c r="P60" s="14"/>
      <x:c r="Q60" s="9" t="str">
        <x:v>своя заметка</x:v>
      </x:c>
      <x:c r="R60" s="10" t="d">
        <x:v>2026-11-30T00:00:00.000Z</x:v>
      </x:c>
      <x:c r="S60" s="10" t="d">
        <x:v>2026-12-06T00:00:00.000Z</x:v>
      </x:c>
      <x:c r="T60" s="10" t="d">
        <x:v>2026-12-27T00:00:00.000Z</x:v>
      </x:c>
    </x:row>
    <x:row r="61" ht="40" hidden="0" customHeight="1">
      <x:c r="A61" s="10" t="d">
        <x:v>2026-11-30T00:00:00.000Z</x:v>
      </x:c>
      <x:c r="B61" s="9" t="str">
        <x:v>пн</x:v>
      </x:c>
      <x:c r="C61" s="9" t="n">
        <x:v>14</x:v>
      </x:c>
      <x:c r="D61" s="9" t="str">
        <x:v>изучение</x:v>
      </x:c>
      <x:c r="E61" s="9" t="str">
        <x:v>Разрешённый каталог и нормализация пути файла</x:v>
      </x:c>
      <x:c r="F61" s="9" t="str">
        <x:v>Разобрать: Относительный и итоговый путь; нормализация; принадлежность каталогу; граница доступа к marker-файлу.</x:v>
      </x:c>
      <x:c r="G61" s="9" t="str">
        <x:v>На своём marker-файле разберите разрешённый и выходящий за границу путь. Запиши итоговый нормализованный путь.</x:v>
      </x:c>
      <x:c r="H61" s="9" t="str">
        <x:v>Локальный parser или Academy-lab</x:v>
      </x:c>
      <x:c r="I61" s="9" t="str">
        <x:v>RU05 OWASP ASVS 5.0.0 русский перевод — Обработка файлов; инъекции; серверные запросы
https://github.com/OWASP/ASVS</x:v>
      </x:c>
      <x:c r="J61" s="9" t="str">
        <x:v>Подтверждён предыдущий механизм; действуют условия темы и разрешённой лаборатории.</x:v>
      </x:c>
      <x:c r="K61" s="9" t="str">
        <x:v>Когда проверка строки расходится с фактическим путём?</x:v>
      </x:c>
      <x:c r="L61" s="9" t="str">
        <x:v>2026-11-30_note.md: вход, ожидание, факт, вывод, контроль</x:v>
      </x:c>
      <x:c r="M61" s="12"/>
      <x:c r="N61" s="12"/>
      <x:c r="O61" s="12"/>
      <x:c r="P61" s="14"/>
      <x:c r="Q61" s="9" t="str">
        <x:v>RU05</x:v>
      </x:c>
      <x:c r="R61" s="10" t="d">
        <x:v>2026-12-01T00:00:00.000Z</x:v>
      </x:c>
      <x:c r="S61" s="10" t="d">
        <x:v>2026-12-07T00:00:00.000Z</x:v>
      </x:c>
      <x:c r="T61" s="10" t="d">
        <x:v>2026-12-28T00:00:00.000Z</x:v>
      </x:c>
    </x:row>
    <x:row r="62" ht="64" hidden="0" customHeight="1">
      <x:c r="A62" s="10" t="d">
        <x:v>2026-12-01T00:00:00.000Z</x:v>
      </x:c>
      <x:c r="B62" s="9" t="str">
        <x:v>вт</x:v>
      </x:c>
      <x:c r="C62" s="9" t="n">
        <x:v>14</x:v>
      </x:c>
      <x:c r="D62" s="9" t="str">
        <x:v>изучение</x:v>
      </x:c>
      <x:c r="E62" s="9" t="str">
        <x:v>Looking Glass — ssrf и серверный запрос</x:v>
      </x:c>
      <x:c r="F62" s="9" t="str">
        <x:v>Изучить и проверить: SSRF и серверный запрос; разрешённый адрес назначения; отрицательный контроль.</x:v>
      </x:c>
      <x:c r="G62" s="9" t="str">
        <x:v>Прочитай условие Looking Glass. Сравни обычный и запрещённый адрес назначения в пределах выданной lab; установи, кто отправляет запрос, и запиши проверяемую границу. При недоступном экземпляре выполни локальную замену. При недоступности — локальная замена из карточки WK02 в документе 12.
Локальная замена: В своей SSRF-модели без внешней сети сравни allowlist для обычного URL, чужого узла и редиректа на запрещённый адрес; проверь журнал принятого решения.</x:v>
      </x:c>
      <x:c r="H62" s="9" t="str">
        <x:v>Repeater, DevTools, журнал выданной lab</x:v>
      </x:c>
      <x:c r="I62" s="9" t="str">
        <x:v>RU05 OWASP ASVS 5.0.0 русский перевод — V12: файлы и ресурсы, серверные запросы
https://github.com/OWASP/ASVS
RU56 Web Kids 2.0: лекции и задачи — Сервер-сайд 2: SSRF
https://web-kids20.forkbomb.ru/tasks</x:v>
      </x:c>
      <x:c r="J62" s="9" t="str">
        <x:v>HTTP/URL и Linux-сеть; использовать только адреса, прямо выданные текущей задачей.</x:v>
      </x:c>
      <x:c r="K62" s="9" t="str">
        <x:v>Что подтверждено собственным наблюдением, какой неверный контроль это ограничивает и смогу ли я повторить шаг без ИИ?</x:v>
      </x:c>
      <x:c r="L62" s="9" t="str">
        <x:v>2026-12-01_WK02_note.md: вход, версия, наблюдение, контроль, подсказки и следующий шаг</x:v>
      </x:c>
      <x:c r="M62" s="12"/>
      <x:c r="N62" s="12"/>
      <x:c r="O62" s="12"/>
      <x:c r="P62" s="14"/>
      <x:c r="Q62" s="9" t="str">
        <x:v>WK02 Looking Glass; шаг 1/1
https://web-kids20.forkbomb.ru/tasks/websrv2_looking_glass</x:v>
      </x:c>
      <x:c r="R62" s="10" t="d">
        <x:v>2026-12-02T00:00:00.000Z</x:v>
      </x:c>
      <x:c r="S62" s="10" t="d">
        <x:v>2026-12-08T00:00:00.000Z</x:v>
      </x:c>
      <x:c r="T62" s="10" t="d">
        <x:v>2026-12-29T00:00:00.000Z</x:v>
      </x:c>
    </x:row>
    <x:row r="63" ht="52" hidden="0" customHeight="1">
      <x:c r="A63" s="10" t="d">
        <x:v>2026-12-02T00:00:00.000Z</x:v>
      </x:c>
      <x:c r="B63" s="9" t="str">
        <x:v>ср</x:v>
      </x:c>
      <x:c r="C63" s="9" t="n">
        <x:v>14</x:v>
      </x:c>
      <x:c r="D63" s="9" t="str">
        <x:v>изучение</x:v>
      </x:c>
      <x:c r="E63" s="9" t="str">
        <x:v>XML-парсер и обработка внешних сущностей</x:v>
      </x:c>
      <x:c r="F63" s="9" t="str">
        <x:v>Разобрать: DTD; внешние сущности; разрешённые функции парсера; безопасная конфигурация своего примера.</x:v>
      </x:c>
      <x:c r="G63" s="9" t="str">
        <x:v>На локальном XML-примере проверь обычный документ и безопасное отключение внешнего разрешения. Настоящие внутренние адреса не используй.</x:v>
      </x:c>
      <x:c r="H63" s="9" t="str">
        <x:v>Локальный parser или Academy-lab</x:v>
      </x:c>
      <x:c r="I63" s="9" t="str">
        <x:v>RU05 OWASP ASVS 5.0.0 русский перевод — Обработка файлов; инъекции; серверные запросы
https://github.com/OWASP/ASVS</x:v>
      </x:c>
      <x:c r="J63" s="9" t="str">
        <x:v>Подтверждён предыдущий механизм; действуют условия темы и разрешённой лаборатории.</x:v>
      </x:c>
      <x:c r="K63" s="9" t="str">
        <x:v>Какая настройка ограничивает обращение парсера к внешним ресурсам?</x:v>
      </x:c>
      <x:c r="L63" s="9" t="str">
        <x:v>2026-12-02_note.md: вход, ожидание, факт, вывод, контроль</x:v>
      </x:c>
      <x:c r="M63" s="12"/>
      <x:c r="N63" s="12"/>
      <x:c r="O63" s="12"/>
      <x:c r="P63" s="14"/>
      <x:c r="Q63" s="9" t="str">
        <x:v>RU05
Вместо блока, один вариант: KA07; карточки в документе 12.</x:v>
      </x:c>
      <x:c r="R63" s="10" t="d">
        <x:v>2026-12-03T00:00:00.000Z</x:v>
      </x:c>
      <x:c r="S63" s="10" t="d">
        <x:v>2026-12-09T00:00:00.000Z</x:v>
      </x:c>
      <x:c r="T63" s="10" t="d">
        <x:v>2026-12-30T00:00:00.000Z</x:v>
      </x:c>
    </x:row>
    <x:row r="64" ht="40" hidden="0" customHeight="1">
      <x:c r="A64" s="10" t="d">
        <x:v>2026-12-03T00:00:00.000Z</x:v>
      </x:c>
      <x:c r="B64" s="9" t="str">
        <x:v>чт</x:v>
      </x:c>
      <x:c r="C64" s="9" t="n">
        <x:v>14</x:v>
      </x:c>
      <x:c r="D64" s="9" t="str">
        <x:v>изучение</x:v>
      </x:c>
      <x:c r="E64" s="9" t="str">
        <x:v>Проверка загружаемого файла на разных слоях</x:v>
      </x:c>
      <x:c r="F64" s="9" t="str">
        <x:v>Разобрать: Имя и расширение; MIME; содержимое; хранение и последующая обработка.</x:v>
      </x:c>
      <x:c r="G64" s="9" t="str">
        <x:v>В upload-lab сравни имя, заявленный тип и реальное содержимое безопасного marker-файла. Запиши путь обработки после загрузки.</x:v>
      </x:c>
      <x:c r="H64" s="9" t="str">
        <x:v>Локальный parser или Academy-lab</x:v>
      </x:c>
      <x:c r="I64" s="9" t="str">
        <x:v>RU05 OWASP ASVS 5.0.0 русский перевод — Обработка файлов; инъекции; серверные запросы
https://github.com/OWASP/ASVS</x:v>
      </x:c>
      <x:c r="J64" s="9" t="str">
        <x:v>Подтверждён предыдущий механизм; действуют условия темы и разрешённой лаборатории.</x:v>
      </x:c>
      <x:c r="K64" s="9" t="str">
        <x:v>Почему корректный MIME не доказывает безопасность содержимого?</x:v>
      </x:c>
      <x:c r="L64" s="9" t="str">
        <x:v>2026-12-03_note.md: вход, ожидание, факт, вывод, контроль</x:v>
      </x:c>
      <x:c r="M64" s="12"/>
      <x:c r="N64" s="12"/>
      <x:c r="O64" s="12"/>
      <x:c r="P64" s="14"/>
      <x:c r="Q64" s="9" t="str">
        <x:v>RU05</x:v>
      </x:c>
      <x:c r="R64" s="10" t="d">
        <x:v>2026-12-04T00:00:00.000Z</x:v>
      </x:c>
      <x:c r="S64" s="10" t="d">
        <x:v>2026-12-10T00:00:00.000Z</x:v>
      </x:c>
      <x:c r="T64" s="10" t="d">
        <x:v>2026-12-31T00:00:00.000Z</x:v>
      </x:c>
    </x:row>
    <x:row r="65" ht="40" hidden="0" customHeight="1">
      <x:c r="A65" s="10" t="d">
        <x:v>2026-12-04T00:00:00.000Z</x:v>
      </x:c>
      <x:c r="B65" s="9" t="str">
        <x:v>пт</x:v>
      </x:c>
      <x:c r="C65" s="9" t="n">
        <x:v>14</x:v>
      </x:c>
      <x:c r="D65" s="9" t="str">
        <x:v>изучение</x:v>
      </x:c>
      <x:c r="E65" s="9" t="str">
        <x:v>Десериализация данных и доверие к формату</x:v>
      </x:c>
      <x:c r="F65" s="9" t="str">
        <x:v>Разобрать: JSON и объектный формат; восстановление типов; возможное поведение; источник данных.</x:v>
      </x:c>
      <x:c r="G65" s="9" t="str">
        <x:v>Сравни JSON тестовых данных и объектный формат по RU05. Запиши, где возможны типы и поведение, без чужих payload.</x:v>
      </x:c>
      <x:c r="H65" s="9" t="str">
        <x:v>Локальный parser или Academy-lab</x:v>
      </x:c>
      <x:c r="I65" s="9" t="str">
        <x:v>RU05 OWASP ASVS 5.0.0 русский перевод — Обработка файлов; инъекции; серверные запросы
https://github.com/OWASP/ASVS</x:v>
      </x:c>
      <x:c r="J65" s="9" t="str">
        <x:v>Подтверждён предыдущий механизм; действуют условия темы и разрешённой лаборатории.</x:v>
      </x:c>
      <x:c r="K65" s="9" t="str">
        <x:v>Какой формат сохраняет данные без восстановления произвольного объекта?</x:v>
      </x:c>
      <x:c r="L65" s="9" t="str">
        <x:v>2026-12-04_note.md: вход, ожидание, факт, вывод, контроль</x:v>
      </x:c>
      <x:c r="M65" s="12"/>
      <x:c r="N65" s="12"/>
      <x:c r="O65" s="12"/>
      <x:c r="P65" s="14"/>
      <x:c r="Q65" s="9" t="str">
        <x:v>RU05</x:v>
      </x:c>
      <x:c r="R65" s="10" t="d">
        <x:v>2026-12-05T00:00:00.000Z</x:v>
      </x:c>
      <x:c r="S65" s="10" t="d">
        <x:v>2026-12-11T00:00:00.000Z</x:v>
      </x:c>
      <x:c r="T65" s="10" t="d">
        <x:v>2027-01-01T00:00:00.000Z</x:v>
      </x:c>
    </x:row>
    <x:row r="66" ht="40" hidden="0" customHeight="1">
      <x:c r="A66" s="10" t="d">
        <x:v>2026-12-05T00:00:00.000Z</x:v>
      </x:c>
      <x:c r="B66" s="9" t="str">
        <x:v>сб</x:v>
      </x:c>
      <x:c r="C66" s="9" t="n">
        <x:v>14</x:v>
      </x:c>
      <x:c r="D66" s="9" t="str">
        <x:v>повторение</x:v>
      </x:c>
      <x:c r="E66" s="9" t="str">
        <x:v>Граница доверия и исправление серверной находки</x:v>
      </x:c>
      <x:c r="F66" s="9" t="str">
        <x:v>Повторить: Для одной lab: управляемый вход, конечное действие, допустимый объект и контроль исправления.</x:v>
      </x:c>
      <x:c r="G66" s="9" t="str">
        <x:v>Выбери один завершённый lab недели. Оформи вход, границу, подтверждённое действие и исправление с отрицательным контролем.</x:v>
      </x:c>
      <x:c r="H66" s="9" t="str">
        <x:v>Локальный parser или Academy-lab</x:v>
      </x:c>
      <x:c r="I66" s="9" t="str">
        <x:v>RU05 OWASP ASVS 5.0.0 русский перевод — Обработка файлов; инъекции; серверные запросы
https://github.com/OWASP/ASVS</x:v>
      </x:c>
      <x:c r="J66" s="9" t="str">
        <x:v>Подтверждён предыдущий механизм; действуют условия темы и разрешённой лаборатории.</x:v>
      </x:c>
      <x:c r="K66" s="9" t="str">
        <x:v>Какой слой отвечает за окончательное разрешение действия?</x:v>
      </x:c>
      <x:c r="L66" s="9" t="str">
        <x:v>2026-12-05_note.md: вход, ожидание, факт, вывод, контроль</x:v>
      </x:c>
      <x:c r="M66" s="12"/>
      <x:c r="N66" s="12"/>
      <x:c r="O66" s="12"/>
      <x:c r="P66" s="14"/>
      <x:c r="Q66" s="9" t="str">
        <x:v>RU05</x:v>
      </x:c>
      <x:c r="R66" s="10" t="d">
        <x:v>2026-12-06T00:00:00.000Z</x:v>
      </x:c>
      <x:c r="S66" s="10" t="d">
        <x:v>2026-12-12T00:00:00.000Z</x:v>
      </x:c>
      <x:c r="T66" s="10" t="d">
        <x:v>2027-01-02T00:00:00.000Z</x:v>
      </x:c>
    </x:row>
    <x:row r="67" ht="28" hidden="0" customHeight="1">
      <x:c r="A67" s="10" t="d">
        <x:v>2026-12-06T00:00:00.000Z</x:v>
      </x:c>
      <x:c r="B67" s="9" t="str">
        <x:v>вс</x:v>
      </x:c>
      <x:c r="C67" s="9" t="n">
        <x:v>14</x:v>
      </x:c>
      <x:c r="D67" s="9" t="str">
        <x:v>повторение</x:v>
      </x:c>
      <x:c r="E67" s="9" t="str">
        <x:v>Повторение Граница доверия и исправление серверной находки</x:v>
      </x:c>
      <x:c r="F67" s="9" t="str">
        <x:v>Вспомнить Для одной lab: управляемый вход, конечное действие, допустимый объект и контроль исправления и объяснить один отрицательный контроль по готовой заметке.</x:v>
      </x:c>
      <x:c r="G67" s="9" t="str">
        <x:v>Сверить ответ с собственной записью. Новую лабораторию не открывать.</x:v>
      </x:c>
      <x:c r="H67" s="9" t="str">
        <x:v>Локальный parser или Academy-lab</x:v>
      </x:c>
      <x:c r="I67" s="9" t="str">
        <x:v>Своя готовая заметка по теме; нового чтения нет</x:v>
      </x:c>
      <x:c r="J67" s="9" t="str">
        <x:v>Подтверждён предыдущий механизм; действуют условия темы и разрешённой лаборатории.</x:v>
      </x:c>
      <x:c r="K67" s="9" t="str">
        <x:v>Какой факт недели лучше всего подтверждает освоенный механизм?</x:v>
      </x:c>
      <x:c r="L67" s="9" t="str">
        <x:v>Карточка памяти по готовой заметке</x:v>
      </x:c>
      <x:c r="M67" s="12"/>
      <x:c r="N67" s="12"/>
      <x:c r="O67" s="12"/>
      <x:c r="P67" s="14"/>
      <x:c r="Q67" s="9" t="str">
        <x:v>своя заметка</x:v>
      </x:c>
      <x:c r="R67" s="10" t="d">
        <x:v>2026-12-07T00:00:00.000Z</x:v>
      </x:c>
      <x:c r="S67" s="10" t="d">
        <x:v>2026-12-14T00:00:00.000Z</x:v>
      </x:c>
      <x:c r="T67" s="10" t="d">
        <x:v>2027-01-03T00:00:00.000Z</x:v>
      </x:c>
    </x:row>
    <x:row r="68" ht="40" hidden="0" customHeight="1">
      <x:c r="A68" s="10" t="d">
        <x:v>2026-12-07T00:00:00.000Z</x:v>
      </x:c>
      <x:c r="B68" s="9" t="str">
        <x:v>пн</x:v>
      </x:c>
      <x:c r="C68" s="9" t="n">
        <x:v>15</x:v>
      </x:c>
      <x:c r="D68" s="9" t="str">
        <x:v>изучение</x:v>
      </x:c>
      <x:c r="E68" s="9" t="str">
        <x:v>Матрица API по методу объекту и роли</x:v>
      </x:c>
      <x:c r="F68" s="9" t="str">
        <x:v>Разобрать: HTTP-метод; ресурс и идентификатор; роль; разрешённая операция.</x:v>
      </x:c>
      <x:c r="G68" s="9" t="str">
        <x:v>Составь таблицу методов и объектов учебного API. Предскажи разрешения двух ролей, проверь один обычный запрос.</x:v>
      </x:c>
      <x:c r="H68" s="9" t="str">
        <x:v>Тестовый API, Python race-модель</x:v>
      </x:c>
      <x:c r="I68" s="9" t="str">
        <x:v>RU05 OWASP ASVS 5.0.0 русский перевод — Валидация; бизнес логика; API; состояние
https://github.com/OWASP/ASVS</x:v>
      </x:c>
      <x:c r="J68" s="9" t="str">
        <x:v>Подтверждён предыдущий механизм; действуют условия темы и разрешённой лаборатории.</x:v>
      </x:c>
      <x:c r="K68" s="9" t="str">
        <x:v>Какое разрешение меняется при смене GET на изменяющий метод?</x:v>
      </x:c>
      <x:c r="L68" s="9" t="str">
        <x:v>2026-12-07_note.md: вход, ожидание, факт, вывод, контроль</x:v>
      </x:c>
      <x:c r="M68" s="12"/>
      <x:c r="N68" s="12"/>
      <x:c r="O68" s="12"/>
      <x:c r="P68" s="14"/>
      <x:c r="Q68" s="9" t="str">
        <x:v>RU05</x:v>
      </x:c>
      <x:c r="R68" s="10" t="d">
        <x:v>2026-12-08T00:00:00.000Z</x:v>
      </x:c>
      <x:c r="S68" s="10" t="d">
        <x:v>2026-12-14T00:00:00.000Z</x:v>
      </x:c>
      <x:c r="T68" s="10" t="d">
        <x:v>2027-01-04T00:00:00.000Z</x:v>
      </x:c>
    </x:row>
    <x:row r="69" ht="40" hidden="0" customHeight="1">
      <x:c r="A69" s="10" t="d">
        <x:v>2026-12-08T00:00:00.000Z</x:v>
      </x:c>
      <x:c r="B69" s="9" t="str">
        <x:v>вт</x:v>
      </x:c>
      <x:c r="C69" s="9" t="n">
        <x:v>15</x:v>
      </x:c>
      <x:c r="D69" s="9" t="str">
        <x:v>изучение</x:v>
      </x:c>
      <x:c r="E69" s="9" t="str">
        <x:v>Контракт OpenAPI и контроль свойств объекта</x:v>
      </x:c>
      <x:c r="F69" s="9" t="str">
        <x:v>Разобрать: Путь и метод; схема тела; разрешённые поля; роль и владелец.</x:v>
      </x:c>
      <x:c r="G69" s="9" t="str">
        <x:v>Для одного собственного endpoint выпиши разрешённые поля. Сравни обычный запрос с добавленным запрещённым полем и с отсутствующим обязательным полем. Наблюдай сохранённое состояние.</x:v>
      </x:c>
      <x:c r="H69" s="9" t="str">
        <x:v>Своя API lab, Burp Community или Python</x:v>
      </x:c>
      <x:c r="I69" s="9" t="str">
        <x:v>RU05 OWASP ASVS 5.0.0 русский перевод — Авторизация; API; OAuth OIDC; обработка ошибок
https://github.com/OWASP/ASVS</x:v>
      </x:c>
      <x:c r="J69" s="9" t="str">
        <x:v>Подтверждён предыдущий механизм; действуют условия темы и разрешённой лаборатории.</x:v>
      </x:c>
      <x:c r="K69" s="9" t="str">
        <x:v>Какая серверная проверка ограничивает изменение отдельного поля?</x:v>
      </x:c>
      <x:c r="L69" s="9" t="str">
        <x:v>Три входа и сравнение состояния объекта</x:v>
      </x:c>
      <x:c r="M69" s="12"/>
      <x:c r="N69" s="12"/>
      <x:c r="O69" s="12"/>
      <x:c r="P69" s="14"/>
      <x:c r="Q69" s="9" t="str">
        <x:v>RU05</x:v>
      </x:c>
      <x:c r="R69" s="10" t="d">
        <x:v>2026-12-09T00:00:00.000Z</x:v>
      </x:c>
      <x:c r="S69" s="10" t="d">
        <x:v>2026-12-15T00:00:00.000Z</x:v>
      </x:c>
      <x:c r="T69" s="10" t="d">
        <x:v>2027-01-05T00:00:00.000Z</x:v>
      </x:c>
    </x:row>
    <x:row r="70" ht="40" hidden="0" customHeight="1">
      <x:c r="A70" s="10" t="d">
        <x:v>2026-12-09T00:00:00.000Z</x:v>
      </x:c>
      <x:c r="B70" s="9" t="str">
        <x:v>ср</x:v>
      </x:c>
      <x:c r="C70" s="9" t="n">
        <x:v>15</x:v>
      </x:c>
      <x:c r="D70" s="9" t="str">
        <x:v>изучение</x:v>
      </x:c>
      <x:c r="E70" s="9" t="str">
        <x:v>Бизнес-ограничение и инвариант состояния</x:v>
      </x:c>
      <x:c r="F70" s="9" t="str">
        <x:v>Разобрать: Допустимый переход; исходное состояние; бизнес-инвариант; контроль после операции.</x:v>
      </x:c>
      <x:c r="G70" s="9" t="str">
        <x:v>В lab выпиши одно бизнес-ограничение до действия. Проверь обычный и нарушающий последовательность сценарий по заданию.</x:v>
      </x:c>
      <x:c r="H70" s="9" t="str">
        <x:v>Тестовый API, Python race-модель</x:v>
      </x:c>
      <x:c r="I70" s="9" t="str">
        <x:v>RU05 OWASP ASVS 5.0.0 русский перевод — Валидация; бизнес логика; API; состояние
https://github.com/OWASP/ASVS</x:v>
      </x:c>
      <x:c r="J70" s="9" t="str">
        <x:v>Подтверждён предыдущий механизм; действуют условия темы и разрешённой лаборатории.</x:v>
      </x:c>
      <x:c r="K70" s="9" t="str">
        <x:v>Какой инвариант должен сохраняться после операции?</x:v>
      </x:c>
      <x:c r="L70" s="9" t="str">
        <x:v>2026-12-09_note.md: вход, ожидание, факт, вывод, контроль</x:v>
      </x:c>
      <x:c r="M70" s="12"/>
      <x:c r="N70" s="12"/>
      <x:c r="O70" s="12"/>
      <x:c r="P70" s="14"/>
      <x:c r="Q70" s="9" t="str">
        <x:v>RU05</x:v>
      </x:c>
      <x:c r="R70" s="10" t="d">
        <x:v>2026-12-10T00:00:00.000Z</x:v>
      </x:c>
      <x:c r="S70" s="10" t="d">
        <x:v>2026-12-16T00:00:00.000Z</x:v>
      </x:c>
      <x:c r="T70" s="10" t="d">
        <x:v>2027-01-06T00:00:00.000Z</x:v>
      </x:c>
    </x:row>
    <x:row r="71" ht="40" hidden="0" customHeight="1">
      <x:c r="A71" s="10" t="d">
        <x:v>2026-12-10T00:00:00.000Z</x:v>
      </x:c>
      <x:c r="B71" s="9" t="str">
        <x:v>чт</x:v>
      </x:c>
      <x:c r="C71" s="9" t="n">
        <x:v>15</x:v>
      </x:c>
      <x:c r="D71" s="9" t="str">
        <x:v>изучение</x:v>
      </x:c>
      <x:c r="E71" s="9" t="str">
        <x:v>Конкурентные операции и общий ресурс</x:v>
      </x:c>
      <x:c r="F71" s="9" t="str">
        <x:v>Разобрать: Последовательность шагов; два исполнителя; общее состояние; порядок проверки и изменения.</x:v>
      </x:c>
      <x:c r="G71" s="9" t="str">
        <x:v>Запусти локальный учебный race-пример с двумя исполнителями. Сравни последовательный и конкурентный итог; сохрани модель исправления.</x:v>
      </x:c>
      <x:c r="H71" s="9" t="str">
        <x:v>Тестовый API, Python race-модель</x:v>
      </x:c>
      <x:c r="I71" s="9" t="str">
        <x:v>RU05 OWASP ASVS 5.0.0 русский перевод — Валидация; бизнес логика; API; состояние
https://github.com/OWASP/ASVS</x:v>
      </x:c>
      <x:c r="J71" s="9" t="str">
        <x:v>Подтверждён предыдущий механизм; действуют условия темы и разрешённой лаборатории.</x:v>
      </x:c>
      <x:c r="K71" s="9" t="str">
        <x:v>Какая операция должна стать атомарной?</x:v>
      </x:c>
      <x:c r="L71" s="9" t="str">
        <x:v>2026-12-10_note.md: вход, ожидание, факт, вывод, контроль</x:v>
      </x:c>
      <x:c r="M71" s="12"/>
      <x:c r="N71" s="12"/>
      <x:c r="O71" s="12"/>
      <x:c r="P71" s="14"/>
      <x:c r="Q71" s="9" t="str">
        <x:v>RU05</x:v>
      </x:c>
      <x:c r="R71" s="10" t="d">
        <x:v>2026-12-11T00:00:00.000Z</x:v>
      </x:c>
      <x:c r="S71" s="10" t="d">
        <x:v>2026-12-17T00:00:00.000Z</x:v>
      </x:c>
      <x:c r="T71" s="10" t="d">
        <x:v>2027-01-07T00:00:00.000Z</x:v>
      </x:c>
    </x:row>
    <x:row r="72" ht="40" hidden="0" customHeight="1">
      <x:c r="A72" s="10" t="d">
        <x:v>2026-12-11T00:00:00.000Z</x:v>
      </x:c>
      <x:c r="B72" s="9" t="str">
        <x:v>пт</x:v>
      </x:c>
      <x:c r="C72" s="9" t="n">
        <x:v>15</x:v>
      </x:c>
      <x:c r="D72" s="9" t="str">
        <x:v>изучение</x:v>
      </x:c>
      <x:c r="E72" s="9" t="str">
        <x:v>Исключения и отказ по умолчанию в собственной API</x:v>
      </x:c>
      <x:c r="F72" s="9" t="str">
        <x:v>Разобрать: Ошибка разбора; ошибка проверки прав; отказ зависимости; fail closed.</x:v>
      </x:c>
      <x:c r="G72" s="9" t="str">
        <x:v>На локальном обработчике сравни нормальный вход, неполное тело и смоделированную ошибку проверки прав. Проверь, что ошибка не превращается в разрешение и состояние не меняется.</x:v>
      </x:c>
      <x:c r="H72" s="9" t="str">
        <x:v>Python, своя API lab</x:v>
      </x:c>
      <x:c r="I72" s="9" t="str">
        <x:v>RU05 OWASP ASVS 5.0.0 русский перевод — Авторизация; API; OAuth OIDC; обработка ошибок
https://github.com/OWASP/ASVS</x:v>
      </x:c>
      <x:c r="J72" s="9" t="str">
        <x:v>Подтверждён предыдущий механизм; действуют условия темы и разрешённой лаборатории.</x:v>
      </x:c>
      <x:c r="K72" s="9" t="str">
        <x:v>Что должно произойти, если решение о доступе получить не удалось?</x:v>
      </x:c>
      <x:c r="L72" s="9" t="str">
        <x:v>Матрица трёх случаев и проверка отсутствия записи</x:v>
      </x:c>
      <x:c r="M72" s="12"/>
      <x:c r="N72" s="12"/>
      <x:c r="O72" s="12"/>
      <x:c r="P72" s="14"/>
      <x:c r="Q72" s="9" t="str">
        <x:v>RU05</x:v>
      </x:c>
      <x:c r="R72" s="10" t="d">
        <x:v>2026-12-12T00:00:00.000Z</x:v>
      </x:c>
      <x:c r="S72" s="10" t="d">
        <x:v>2026-12-18T00:00:00.000Z</x:v>
      </x:c>
      <x:c r="T72" s="10" t="d">
        <x:v>2027-01-08T00:00:00.000Z</x:v>
      </x:c>
    </x:row>
    <x:row r="73" ht="40" hidden="0" customHeight="1">
      <x:c r="A73" s="10" t="d">
        <x:v>2026-12-12T00:00:00.000Z</x:v>
      </x:c>
      <x:c r="B73" s="9" t="str">
        <x:v>сб</x:v>
      </x:c>
      <x:c r="C73" s="9" t="n">
        <x:v>15</x:v>
      </x:c>
      <x:c r="D73" s="9" t="str">
        <x:v>повторение</x:v>
      </x:c>
      <x:c r="E73" s="9" t="str">
        <x:v>Описание гонки и состояния до и после опыта</x:v>
      </x:c>
      <x:c r="F73" s="9" t="str">
        <x:v>Повторить: Исходное состояние; порядок событий; итоговый инвариант; finding и ограничение вывода.</x:v>
      </x:c>
      <x:c r="G73" s="9" t="str">
        <x:v>Оформи finding: начальное состояние, действия, фактический итог и защита. Повтори локальное исправление с тем же контролем.</x:v>
      </x:c>
      <x:c r="H73" s="9" t="str">
        <x:v>Тестовый API, Python race-модель</x:v>
      </x:c>
      <x:c r="I73" s="9" t="str">
        <x:v>RU05 OWASP ASVS 5.0.0 русский перевод — Валидация; бизнес логика; API; состояние
https://github.com/OWASP/ASVS</x:v>
      </x:c>
      <x:c r="J73" s="9" t="str">
        <x:v>Подтверждён предыдущий механизм; действуют условия темы и разрешённой лаборатории.</x:v>
      </x:c>
      <x:c r="K73" s="9" t="str">
        <x:v>Как состояние подтвердило нарушение, а не только ошибку запроса?</x:v>
      </x:c>
      <x:c r="L73" s="9" t="str">
        <x:v>2026-12-12_note.md: вход, ожидание, факт, вывод, контроль</x:v>
      </x:c>
      <x:c r="M73" s="12"/>
      <x:c r="N73" s="12"/>
      <x:c r="O73" s="12"/>
      <x:c r="P73" s="14"/>
      <x:c r="Q73" s="9" t="str">
        <x:v>RU05</x:v>
      </x:c>
      <x:c r="R73" s="10" t="d">
        <x:v>2026-12-14T00:00:00.000Z</x:v>
      </x:c>
      <x:c r="S73" s="10" t="d">
        <x:v>2026-12-19T00:00:00.000Z</x:v>
      </x:c>
      <x:c r="T73" s="10" t="d">
        <x:v>2027-01-09T00:00:00.000Z</x:v>
      </x:c>
    </x:row>
    <x:row r="74" ht="19" hidden="0" customHeight="1">
      <x:c r="A74" s="10" t="d">
        <x:v>2026-12-13T00:00:00.000Z</x:v>
      </x:c>
      <x:c r="B74" s="9" t="str">
        <x:v>вс</x:v>
      </x:c>
      <x:c r="C74" s="9" t="n">
        <x:v>15</x:v>
      </x:c>
      <x:c r="D74" s="9" t="str">
        <x:v>пауза</x:v>
      </x:c>
      <x:c r="E74" s="9" t="str">
        <x:v>Учебная пауза и восстановление</x:v>
      </x:c>
      <x:c r="F74" s="9" t="str">
        <x:v>Новых учебных задач нет.</x:v>
      </x:c>
      <x:c r="G74" s="9" t="str">
        <x:v>Практика не назначена</x:v>
      </x:c>
      <x:c r="H74" s="9" t="str">
        <x:v>Не требуется</x:v>
      </x:c>
      <x:c r="I74" s="9" t="str">
        <x:v>Чтение не назначено</x:v>
      </x:c>
      <x:c r="J74" s="9" t="str">
        <x:v>Учебная пауза; допуск и практику сегодня не проверять.</x:v>
      </x:c>
      <x:c r="K74" s="9" t="str">
        <x:v>Учебного зачёта сегодня нет.</x:v>
      </x:c>
      <x:c r="L74" s="9" t="str">
        <x:v>Учебного артефакта нет</x:v>
      </x:c>
      <x:c r="M74" s="12"/>
      <x:c r="N74" s="12"/>
      <x:c r="O74" s="12"/>
      <x:c r="P74" s="14"/>
      <x:c r="Q74" s="9" t="str">
        <x:v>пауза</x:v>
      </x:c>
      <x:c r="R74" s="10"/>
      <x:c r="S74" s="10"/>
      <x:c r="T74" s="10"/>
    </x:row>
    <x:row r="75" ht="112" hidden="0" customHeight="1">
      <x:c r="A75" s="10" t="d">
        <x:v>2026-12-14T00:00:00.000Z</x:v>
      </x:c>
      <x:c r="B75" s="9" t="str">
        <x:v>пн</x:v>
      </x:c>
      <x:c r="C75" s="9" t="n">
        <x:v>16</x:v>
      </x:c>
      <x:c r="D75" s="9" t="str">
        <x:v>изучение</x:v>
      </x:c>
      <x:c r="E75" s="9" t="str">
        <x:v>Модель угроз приложения с AI агентом</x:v>
      </x:c>
      <x:c r="F75" s="9" t="str">
        <x:v>Разобрать: Пользователь; недоверенный документ; модель; инструмент; действие.</x:v>
      </x:c>
      <x:c r="G75" s="9" t="str">
        <x:v>Нарисуй поток данных локального mock-агента. Отдели пользовательскую задачу от текста документа и укажи, какой компонент принимает решение о вызове инструмента.</x:v>
      </x:c>
      <x:c r="H75" s="9" t="str">
        <x:v>Python, mock-сценарии modern_lab.py agent</x:v>
      </x:c>
      <x:c r="I75" s="9" t="str">
        <x:v>RU21 Yandex Cloud Агенты инструменты MCP — Цель и права инструмента; MCP; делегация
https://yandex.cloud/ru/docs/security/standard-ai/agents-tools-mcp
RU22 OWASP Top 10 для LLM и генеративного ИИ 2025 — Prompt injection и чрезмерные полномочия
https://genai.owasp.org/resource/owasp-top-10-%D0%B4%D0%BB%D1%8F-llm-%D0%B8-%D0%B3%D0%B5%D0%BD%D0%B5%D1%80%D0%B0%D1%82%D0%B8%D0%B2%D0%BD%D0%BE%D0%B3%D0%BE-%D0%B8%D0%B8-2025/</x:v>
      </x:c>
      <x:c r="J75" s="9" t="str">
        <x:v>HTTP JSON, различие аутентификации и авторизации, права на объект и API контракт. Умеешь воспроизвести обычный и отклонённый запрос.</x:v>
      </x:c>
      <x:c r="K75" s="9" t="str">
        <x:v>Какой компонент должен проверять полномочия независимо от ответа модели?</x:v>
      </x:c>
      <x:c r="L75" s="9" t="str">
        <x:v>Схема границ доверия и список разрешённых действий</x:v>
      </x:c>
      <x:c r="M75" s="12"/>
      <x:c r="N75" s="12"/>
      <x:c r="O75" s="12"/>
      <x:c r="P75" s="14"/>
      <x:c r="Q75" s="9" t="str">
        <x:v>RU21 RU22</x:v>
      </x:c>
      <x:c r="R75" s="10" t="d">
        <x:v>2026-12-15T00:00:00.000Z</x:v>
      </x:c>
      <x:c r="S75" s="10" t="d">
        <x:v>2026-12-21T00:00:00.000Z</x:v>
      </x:c>
      <x:c r="T75" s="10" t="d">
        <x:v>2027-01-11T00:00:00.000Z</x:v>
      </x:c>
    </x:row>
    <x:row r="76" ht="112" hidden="0" customHeight="1">
      <x:c r="A76" s="10" t="d">
        <x:v>2026-12-15T00:00:00.000Z</x:v>
      </x:c>
      <x:c r="B76" s="9" t="str">
        <x:v>вт</x:v>
      </x:c>
      <x:c r="C76" s="9" t="n">
        <x:v>16</x:v>
      </x:c>
      <x:c r="D76" s="9" t="str">
        <x:v>изучение</x:v>
      </x:c>
      <x:c r="E76" s="9" t="str">
        <x:v>Prompt injection через недоверенные данные</x:v>
      </x:c>
      <x:c r="F76" s="9" t="str">
        <x:v>Разобрать: Источник текста; попытка инструкции; разрешённое действие; фиксированный контроль.</x:v>
      </x:c>
      <x:c r="G76" s="9" t="str">
        <x:v>Сравни обычный документ и документ с маркерной посторонней инструкцией в mock-сценариях. Зафиксируй предложенное действие и решение policy gate. Настоящий LLM не обязателен.</x:v>
      </x:c>
      <x:c r="H76" s="9" t="str">
        <x:v>modern_lab.py agent, локальные JSON</x:v>
      </x:c>
      <x:c r="I76" s="9" t="str">
        <x:v>RU21 Yandex Cloud Агенты инструменты MCP — Цель и права инструмента; MCP; делегация
https://yandex.cloud/ru/docs/security/standard-ai/agents-tools-mcp
RU22 OWASP Top 10 для LLM и генеративного ИИ 2025 — Prompt injection и чрезмерные полномочия
https://genai.owasp.org/resource/owasp-top-10-%D0%B4%D0%BB%D1%8F-llm-%D0%B8-%D0%B3%D0%B5%D0%BD%D0%B5%D1%80%D0%B0%D1%82%D0%B8%D0%B2%D0%BD%D0%BE%D0%B3%D0%BE-%D0%B8%D0%B8-2025/</x:v>
      </x:c>
      <x:c r="J76" s="9" t="str">
        <x:v>Подтверждён предыдущий механизм; действуют условия темы и разрешённой лаборатории.</x:v>
      </x:c>
      <x:c r="K76" s="9" t="str">
        <x:v>Почему содержимое найденного документа не может самостоятельно менять разрешения?</x:v>
      </x:c>
      <x:c r="L76" s="9" t="str">
        <x:v>Два документа и таблица решений gate</x:v>
      </x:c>
      <x:c r="M76" s="12"/>
      <x:c r="N76" s="12"/>
      <x:c r="O76" s="12"/>
      <x:c r="P76" s="14"/>
      <x:c r="Q76" s="9" t="str">
        <x:v>RU21 RU22</x:v>
      </x:c>
      <x:c r="R76" s="10" t="d">
        <x:v>2026-12-16T00:00:00.000Z</x:v>
      </x:c>
      <x:c r="S76" s="10" t="d">
        <x:v>2026-12-22T00:00:00.000Z</x:v>
      </x:c>
      <x:c r="T76" s="10" t="d">
        <x:v>2027-01-12T00:00:00.000Z</x:v>
      </x:c>
    </x:row>
    <x:row r="77" ht="112" hidden="0" customHeight="1">
      <x:c r="A77" s="10" t="d">
        <x:v>2026-12-16T00:00:00.000Z</x:v>
      </x:c>
      <x:c r="B77" s="9" t="str">
        <x:v>ср</x:v>
      </x:c>
      <x:c r="C77" s="9" t="n">
        <x:v>16</x:v>
      </x:c>
      <x:c r="D77" s="9" t="str">
        <x:v>изучение</x:v>
      </x:c>
      <x:c r="E77" s="9" t="str">
        <x:v>Права инструментов и минимальный доступ агента</x:v>
      </x:c>
      <x:c r="F77" s="9" t="str">
        <x:v>Разобрать: Allowlist; роль; объект; операция; подтверждение значимого действия.</x:v>
      </x:c>
      <x:c r="G77" s="9" t="str">
        <x:v>В модели modern_lab.py agent сравни чтение разрешённой заметки, запрос к чужой заметке и запрещённый инструмент. Для каждого сохрани решение и причину. Ничего не отправляй во внешнюю среду.</x:v>
      </x:c>
      <x:c r="H77" s="9" t="str">
        <x:v>modern_lab.py agent, Python</x:v>
      </x:c>
      <x:c r="I77" s="9" t="str">
        <x:v>RU21 Yandex Cloud Агенты инструменты MCP — Цель и права инструмента; MCP; делегация
https://yandex.cloud/ru/docs/security/standard-ai/agents-tools-mcp
RU22 OWASP Top 10 для LLM и генеративного ИИ 2025 — Prompt injection и чрезмерные полномочия
https://genai.owasp.org/resource/owasp-top-10-%D0%B4%D0%BB%D1%8F-llm-%D0%B8-%D0%B3%D0%B5%D0%BD%D0%B5%D1%80%D0%B0%D1%82%D0%B8%D0%B2%D0%BD%D0%BE%D0%B3%D0%BE-%D0%B8%D0%B8-2025/</x:v>
      </x:c>
      <x:c r="J77" s="9" t="str">
        <x:v>Подтверждён предыдущий механизм; действуют условия темы и разрешённой лаборатории.</x:v>
      </x:c>
      <x:c r="K77" s="9" t="str">
        <x:v>Какое правило отклоняет действие даже при убедительном тексте модели?</x:v>
      </x:c>
      <x:c r="L77" s="9" t="str">
        <x:v>Матрица трёх вызовов инструментов</x:v>
      </x:c>
      <x:c r="M77" s="12"/>
      <x:c r="N77" s="12"/>
      <x:c r="O77" s="12"/>
      <x:c r="P77" s="14"/>
      <x:c r="Q77" s="9" t="str">
        <x:v>RU21 RU22</x:v>
      </x:c>
      <x:c r="R77" s="10" t="d">
        <x:v>2026-12-17T00:00:00.000Z</x:v>
      </x:c>
      <x:c r="S77" s="10" t="d">
        <x:v>2026-12-23T00:00:00.000Z</x:v>
      </x:c>
      <x:c r="T77" s="10" t="d">
        <x:v>2027-01-13T00:00:00.000Z</x:v>
      </x:c>
    </x:row>
    <x:row r="78" ht="112" hidden="0" customHeight="1">
      <x:c r="A78" s="10" t="d">
        <x:v>2026-12-17T00:00:00.000Z</x:v>
      </x:c>
      <x:c r="B78" s="9" t="str">
        <x:v>чт</x:v>
      </x:c>
      <x:c r="C78" s="9" t="n">
        <x:v>16</x:v>
      </x:c>
      <x:c r="D78" s="9" t="str">
        <x:v>изучение</x:v>
      </x:c>
      <x:c r="E78" s="9" t="str">
        <x:v>MCP и полномочия вызывающего клиента</x:v>
      </x:c>
      <x:c r="F78" s="9" t="str">
        <x:v>Разобрать: Resource server; audience; scopes; контекст пользователя; confused deputy.</x:v>
      </x:c>
      <x:c r="G78" s="9" t="str">
        <x:v>На бумажной модели вызова MCP подпиши проверку токена, пользователя и операции. Разбери обычный вызов и токен для другого сервиса. Не переноси bearer token между несвязанными сервисами.</x:v>
      </x:c>
      <x:c r="H78" s="9" t="str">
        <x:v>Локальные JSON, документация MCP</x:v>
      </x:c>
      <x:c r="I78" s="9" t="str">
        <x:v>RU21 Yandex Cloud Агенты инструменты MCP — Цель и права инструмента; MCP; делегация
https://yandex.cloud/ru/docs/security/standard-ai/agents-tools-mcp
RU22 OWASP Top 10 для LLM и генеративного ИИ 2025 — Prompt injection и чрезмерные полномочия
https://genai.owasp.org/resource/owasp-top-10-%D0%B4%D0%BB%D1%8F-llm-%D0%B8-%D0%B3%D0%B5%D0%BD%D0%B5%D1%80%D0%B0%D1%82%D0%B8%D0%B2%D0%BD%D0%BE%D0%B3%D0%BE-%D0%B8%D0%B8-2025/</x:v>
      </x:c>
      <x:c r="J78" s="9" t="str">
        <x:v>Подтверждён предыдущий механизм; действуют условия темы и разрешённой лаборатории.</x:v>
      </x:c>
      <x:c r="K78" s="9" t="str">
        <x:v>Почему разрешённый инструмент ещё не означает разрешение любому клиенту?</x:v>
      </x:c>
      <x:c r="L78" s="9" t="str">
        <x:v>Схема одного вызова MCP и отрицательный случай</x:v>
      </x:c>
      <x:c r="M78" s="12"/>
      <x:c r="N78" s="12"/>
      <x:c r="O78" s="12"/>
      <x:c r="P78" s="14"/>
      <x:c r="Q78" s="9" t="str">
        <x:v>RU21 RU22</x:v>
      </x:c>
      <x:c r="R78" s="10" t="d">
        <x:v>2026-12-18T00:00:00.000Z</x:v>
      </x:c>
      <x:c r="S78" s="10" t="d">
        <x:v>2026-12-24T00:00:00.000Z</x:v>
      </x:c>
      <x:c r="T78" s="10" t="d">
        <x:v>2027-01-14T00:00:00.000Z</x:v>
      </x:c>
    </x:row>
    <x:row r="79" ht="112" hidden="0" customHeight="1">
      <x:c r="A79" s="10" t="d">
        <x:v>2026-12-18T00:00:00.000Z</x:v>
      </x:c>
      <x:c r="B79" s="9" t="str">
        <x:v>пт</x:v>
      </x:c>
      <x:c r="C79" s="9" t="n">
        <x:v>16</x:v>
      </x:c>
      <x:c r="D79" s="9" t="str">
        <x:v>изучение</x:v>
      </x:c>
      <x:c r="E79" s="9" t="str">
        <x:v>Регрессионные проверки безопасности AI приложения</x:v>
      </x:c>
      <x:c r="F79" s="9" t="str">
        <x:v>Разобрать: Обычная задача; посторонняя инструкция; лишние права; ошибочный отказ.</x:v>
      </x:c>
      <x:c r="G79" s="9" t="str">
        <x:v>Собери четыре фиксированных сценария для своей модели агента. Проверь их до и после одного изменения policy gate. Отдельно отметь, что mock не измеряет устойчивость реальной модели.</x:v>
      </x:c>
      <x:c r="H79" s="9" t="str">
        <x:v>modern_lab.py agent, Python</x:v>
      </x:c>
      <x:c r="I79" s="9" t="str">
        <x:v>RU21 Yandex Cloud Агенты инструменты MCP — Цель и права инструмента; MCP; делегация
https://yandex.cloud/ru/docs/security/standard-ai/agents-tools-mcp
RU22 OWASP Top 10 для LLM и генеративного ИИ 2025 — Prompt injection и чрезмерные полномочия
https://genai.owasp.org/resource/owasp-top-10-%D0%B4%D0%BB%D1%8F-llm-%D0%B8-%D0%B3%D0%B5%D0%BD%D0%B5%D1%80%D0%B0%D1%82%D0%B8%D0%B2%D0%BD%D0%BE%D0%B3%D0%BE-%D0%B8%D0%B8-2025/</x:v>
      </x:c>
      <x:c r="J79" s="9" t="str">
        <x:v>Подтверждён предыдущий механизм; действуют условия темы и разрешённой лаборатории.</x:v>
      </x:c>
      <x:c r="K79" s="9" t="str">
        <x:v>Как доказать, что защита не запретила нормальную полезную задачу?</x:v>
      </x:c>
      <x:c r="L79" s="9" t="str">
        <x:v>Набор четырёх сценариев и таблица результатов</x:v>
      </x:c>
      <x:c r="M79" s="12"/>
      <x:c r="N79" s="12"/>
      <x:c r="O79" s="12"/>
      <x:c r="P79" s="14"/>
      <x:c r="Q79" s="9" t="str">
        <x:v>RU21 RU22</x:v>
      </x:c>
      <x:c r="R79" s="10" t="d">
        <x:v>2026-12-19T00:00:00.000Z</x:v>
      </x:c>
      <x:c r="S79" s="10" t="d">
        <x:v>2026-12-25T00:00:00.000Z</x:v>
      </x:c>
      <x:c r="T79" s="10" t="d">
        <x:v>2027-01-15T00:00:00.000Z</x:v>
      </x:c>
    </x:row>
    <x:row r="80" ht="112" hidden="0" customHeight="1">
      <x:c r="A80" s="10" t="d">
        <x:v>2026-12-19T00:00:00.000Z</x:v>
      </x:c>
      <x:c r="B80" s="9" t="str">
        <x:v>сб</x:v>
      </x:c>
      <x:c r="C80" s="9" t="n">
        <x:v>16</x:v>
      </x:c>
      <x:c r="D80" s="9" t="str">
        <x:v>закрепление</x:v>
      </x:c>
      <x:c r="E80" s="9" t="str">
        <x:v>Отчёт по границе доверия AI агента</x:v>
      </x:c>
      <x:c r="F80" s="9" t="str">
        <x:v>Повторить: Уже проверенные сценарии; причина отказа; предел модели; незавершённый шаг.</x:v>
      </x:c>
      <x:c r="G80" s="9" t="str">
        <x:v>Повтори один сценарий по собственной записи. Оформи вывод о policy gate, ограничениях mock и следующей проверке для реального приложения. Новые сценарии сегодня не добавляй.</x:v>
      </x:c>
      <x:c r="H80" s="9" t="str">
        <x:v>Собственные заметки</x:v>
      </x:c>
      <x:c r="I80" s="9" t="str">
        <x:v>RU21 Yandex Cloud Агенты инструменты MCP — Цель и права инструмента; MCP; делегация
https://yandex.cloud/ru/docs/security/standard-ai/agents-tools-mcp
RU22 OWASP Top 10 для LLM и генеративного ИИ 2025 — Prompt injection и чрезмерные полномочия
https://genai.owasp.org/resource/owasp-top-10-%D0%B4%D0%BB%D1%8F-llm-%D0%B8-%D0%B3%D0%B5%D0%BD%D0%B5%D1%80%D0%B0%D1%82%D0%B8%D0%B2%D0%BD%D0%BE%D0%B3%D0%BE-%D0%B8%D0%B8-2025/</x:v>
      </x:c>
      <x:c r="J80" s="9" t="str">
        <x:v>Подтверждён предыдущий механизм; действуют условия темы и разрешённой лаборатории.</x:v>
      </x:c>
      <x:c r="K80" s="9" t="str">
        <x:v>Какие выводы нельзя переносить с mock на реальный LLM?</x:v>
      </x:c>
      <x:c r="L80" s="9" t="str">
        <x:v>Короткий отчёт с одним воспроизведённым случаем</x:v>
      </x:c>
      <x:c r="M80" s="12"/>
      <x:c r="N80" s="12"/>
      <x:c r="O80" s="12"/>
      <x:c r="P80" s="14"/>
      <x:c r="Q80" s="9" t="str">
        <x:v>RU21 RU22</x:v>
      </x:c>
      <x:c r="R80" s="10" t="d">
        <x:v>2026-12-21T00:00:00.000Z</x:v>
      </x:c>
      <x:c r="S80" s="10" t="d">
        <x:v>2026-12-26T00:00:00.000Z</x:v>
      </x:c>
      <x:c r="T80" s="10" t="d">
        <x:v>2027-01-16T00:00:00.000Z</x:v>
      </x:c>
    </x:row>
    <x:row r="81" ht="19" hidden="0" customHeight="1">
      <x:c r="A81" s="10" t="d">
        <x:v>2026-12-20T00:00:00.000Z</x:v>
      </x:c>
      <x:c r="B81" s="9" t="str">
        <x:v>вс</x:v>
      </x:c>
      <x:c r="C81" s="9" t="n">
        <x:v>16</x:v>
      </x:c>
      <x:c r="D81" s="9" t="str">
        <x:v>пауза</x:v>
      </x:c>
      <x:c r="E81" s="9" t="str">
        <x:v>Учебная пауза и восстановление</x:v>
      </x:c>
      <x:c r="F81" s="9" t="str">
        <x:v>Новых учебных задач нет.</x:v>
      </x:c>
      <x:c r="G81" s="9" t="str">
        <x:v>Практика не назначена</x:v>
      </x:c>
      <x:c r="H81" s="9" t="str">
        <x:v>Не требуется</x:v>
      </x:c>
      <x:c r="I81" s="9" t="str">
        <x:v>Чтение не назначено</x:v>
      </x:c>
      <x:c r="J81" s="9" t="str">
        <x:v>Учебная пауза; допуск и практику сегодня не проверять.</x:v>
      </x:c>
      <x:c r="K81" s="9" t="str">
        <x:v>Учебного зачёта сегодня нет.</x:v>
      </x:c>
      <x:c r="L81" s="9" t="str">
        <x:v>Учебного артефакта нет</x:v>
      </x:c>
      <x:c r="M81" s="12"/>
      <x:c r="N81" s="12"/>
      <x:c r="O81" s="12"/>
      <x:c r="P81" s="14"/>
      <x:c r="Q81" s="9" t="str">
        <x:v>пауза</x:v>
      </x:c>
      <x:c r="R81" s="10"/>
      <x:c r="S81" s="10"/>
      <x:c r="T81" s="10"/>
    </x:row>
    <x:row r="82" ht="100" hidden="0" customHeight="1">
      <x:c r="A82" s="10" t="d">
        <x:v>2026-12-21T00:00:00.000Z</x:v>
      </x:c>
      <x:c r="B82" s="9" t="str">
        <x:v>пн</x:v>
      </x:c>
      <x:c r="C82" s="9" t="n">
        <x:v>17</x:v>
      </x:c>
      <x:c r="D82" s="9" t="str">
        <x:v>изучение</x:v>
      </x:c>
      <x:c r="E82" s="9" t="str">
        <x:v>Crocodile — шаг 1 из 6</x:v>
      </x:c>
      <x:c r="F82" s="9" t="str">
        <x:v>Изучить и проверить: Сетевые сервисы; FTP и web; цепочка подтверждённых переходов.</x:v>
      </x:c>
      <x:c r="G82" s="9" t="str">
        <x:v>Открой Crocodile. Проверь Free-доступ и выданный адрес. Составь карту сервисов без предположений о готовом пути. При недоступности — локальная замена из карточки H07 в документе 12.
Локальная замена: В своей VM открой localhost HTTP-сервис с двумя тестовыми файлами. Построй карту сервис файл web-ресурс, проверь успешное чтение и несуществующий путь. Все данные и адреса остаются локальными. Продолжай один и тот же локальный пример по шагу текущего дня.</x:v>
      </x:c>
      <x:c r="H82" s="9" t="str">
        <x:v>Nmap, FTP-клиент, браузер, Repeater</x:v>
      </x:c>
      <x:c r="I82" s="9" t="str">
        <x:v>RU50 Microsoft Learn Аутентификация FTP — Режимы FTP
https://learn.microsoft.com/ru-ru/iis/configuration/system.applicationhost/sites/site/ftpserver/security/authentication/
RU06 MDN Обзор протокола HTTP — HTTP запрос и ответ
https://developer.mozilla.org/ru/docs/Web/HTTP/Guides/Overview
RU10 Nmap Справочное руководство на русском — Вывод о сервисе
https://nmap.org/man/ru/</x:v>
      </x:c>
      <x:c r="J82" s="9" t="str">
        <x:v>Meow Fawn Dancing Redeemer Appointment Sequel; HTTP и чтение файлов.</x:v>
      </x:c>
      <x:c r="K82" s="9" t="str">
        <x:v>Что подтверждено собственным наблюдением, какой неверный контроль это ограничивает и смогу ли я повторить шаг без ИИ?</x:v>
      </x:c>
      <x:c r="L82" s="9" t="str">
        <x:v>2026-12-21_H07_note.md: вход, версия, наблюдение, контроль, подсказки и следующий шаг</x:v>
      </x:c>
      <x:c r="M82" s="12"/>
      <x:c r="N82" s="12"/>
      <x:c r="O82" s="12"/>
      <x:c r="P82" s="14"/>
      <x:c r="Q82" s="9" t="str">
        <x:v>H07 Crocodile; шаг 1/6
https://app.hackthebox.com/starting-point
Вместо блока, один вариант: HA01, HA02, HVA02; карточки в документе 12.</x:v>
      </x:c>
      <x:c r="R82" s="10" t="d">
        <x:v>2026-12-22T00:00:00.000Z</x:v>
      </x:c>
      <x:c r="S82" s="10" t="d">
        <x:v>2026-12-28T00:00:00.000Z</x:v>
      </x:c>
      <x:c r="T82" s="10" t="d">
        <x:v>2027-01-18T00:00:00.000Z</x:v>
      </x:c>
    </x:row>
    <x:row r="83" ht="100" hidden="0" customHeight="1">
      <x:c r="A83" s="10" t="d">
        <x:v>2026-12-22T00:00:00.000Z</x:v>
      </x:c>
      <x:c r="B83" s="9" t="str">
        <x:v>вт</x:v>
      </x:c>
      <x:c r="C83" s="9" t="n">
        <x:v>17</x:v>
      </x:c>
      <x:c r="D83" s="9" t="str">
        <x:v>изучение</x:v>
      </x:c>
      <x:c r="E83" s="9" t="str">
        <x:v>Crocodile — шаг 2 из 6</x:v>
      </x:c>
      <x:c r="F83" s="9" t="str">
        <x:v>Изучить и проверить: Сетевые сервисы; FTP и web; цепочка подтверждённых переходов.</x:v>
      </x:c>
      <x:c r="G83" s="9" t="str">
        <x:v>Продолжи Crocodile. Исследуй доступный файловый сервис и сохрани только факты, нужные для учебной цели. При недоступности — локальная замена из карточки H07 в документе 12.
Локальная замена: В своей VM открой localhost HTTP-сервис с двумя тестовыми файлами. Построй карту сервис файл web-ресурс, проверь успешное чтение и несуществующий путь. Все данные и адреса остаются локальными. Продолжай один и тот же локальный пример по шагу текущего дня.</x:v>
      </x:c>
      <x:c r="H83" s="9" t="str">
        <x:v>Nmap, FTP-клиент, браузер, Repeater</x:v>
      </x:c>
      <x:c r="I83" s="9" t="str">
        <x:v>RU50 Microsoft Learn Аутентификация FTP — Режимы FTP
https://learn.microsoft.com/ru-ru/iis/configuration/system.applicationhost/sites/site/ftpserver/security/authentication/
RU06 MDN Обзор протокола HTTP — HTTP запрос и ответ
https://developer.mozilla.org/ru/docs/Web/HTTP/Guides/Overview
RU10 Nmap Справочное руководство на русском — Вывод о сервисе
https://nmap.org/man/ru/</x:v>
      </x:c>
      <x:c r="J83" s="9" t="str">
        <x:v>Meow Fawn Dancing Redeemer Appointment Sequel; HTTP и чтение файлов.</x:v>
      </x:c>
      <x:c r="K83" s="9" t="str">
        <x:v>Что подтверждено собственным наблюдением, какой неверный контроль это ограничивает и смогу ли я повторить шаг без ИИ?</x:v>
      </x:c>
      <x:c r="L83" s="9" t="str">
        <x:v>2026-12-22_H07_note.md: вход, версия, наблюдение, контроль, подсказки и следующий шаг</x:v>
      </x:c>
      <x:c r="M83" s="12"/>
      <x:c r="N83" s="12"/>
      <x:c r="O83" s="12"/>
      <x:c r="P83" s="14"/>
      <x:c r="Q83" s="9" t="str">
        <x:v>H07 Crocodile; шаг 2/6
https://app.hackthebox.com/starting-point
Вместо блока, один вариант: HA01, HA02, HVA02; карточки в документе 12.</x:v>
      </x:c>
      <x:c r="R83" s="10" t="d">
        <x:v>2026-12-23T00:00:00.000Z</x:v>
      </x:c>
      <x:c r="S83" s="10" t="d">
        <x:v>2026-12-29T00:00:00.000Z</x:v>
      </x:c>
      <x:c r="T83" s="10" t="d">
        <x:v>2027-01-19T00:00:00.000Z</x:v>
      </x:c>
    </x:row>
    <x:row r="84" ht="100" hidden="0" customHeight="1">
      <x:c r="A84" s="10" t="d">
        <x:v>2026-12-23T00:00:00.000Z</x:v>
      </x:c>
      <x:c r="B84" s="9" t="str">
        <x:v>ср</x:v>
      </x:c>
      <x:c r="C84" s="9" t="n">
        <x:v>17</x:v>
      </x:c>
      <x:c r="D84" s="9" t="str">
        <x:v>изучение</x:v>
      </x:c>
      <x:c r="E84" s="9" t="str">
        <x:v>Crocodile — шаг 3 из 6</x:v>
      </x:c>
      <x:c r="F84" s="9" t="str">
        <x:v>Изучить и проверить: Сетевые сервисы; FTP и web; цепочка подтверждённых переходов.</x:v>
      </x:c>
      <x:c r="G84" s="9" t="str">
        <x:v>Сопоставь найденные данные с HTTP-частью Crocodile. Запиши одну гипотезу и результат её проверки. При недоступности — локальная замена из карточки H07 в документе 12.
Локальная замена: В своей VM открой localhost HTTP-сервис с двумя тестовыми файлами. Построй карту сервис файл web-ресурс, проверь успешное чтение и несуществующий путь. Все данные и адреса остаются локальными. Продолжай один и тот же локальный пример по шагу текущего дня.</x:v>
      </x:c>
      <x:c r="H84" s="9" t="str">
        <x:v>Nmap, FTP-клиент, браузер, Repeater</x:v>
      </x:c>
      <x:c r="I84" s="9" t="str">
        <x:v>RU50 Microsoft Learn Аутентификация FTP — Режимы FTP
https://learn.microsoft.com/ru-ru/iis/configuration/system.applicationhost/sites/site/ftpserver/security/authentication/
RU06 MDN Обзор протокола HTTP — HTTP запрос и ответ
https://developer.mozilla.org/ru/docs/Web/HTTP/Guides/Overview
RU10 Nmap Справочное руководство на русском — Вывод о сервисе
https://nmap.org/man/ru/</x:v>
      </x:c>
      <x:c r="J84" s="9" t="str">
        <x:v>Meow Fawn Dancing Redeemer Appointment Sequel; HTTP и чтение файлов.</x:v>
      </x:c>
      <x:c r="K84" s="9" t="str">
        <x:v>Что подтверждено собственным наблюдением, какой неверный контроль это ограничивает и смогу ли я повторить шаг без ИИ?</x:v>
      </x:c>
      <x:c r="L84" s="9" t="str">
        <x:v>2026-12-23_H07_note.md: вход, версия, наблюдение, контроль, подсказки и следующий шаг</x:v>
      </x:c>
      <x:c r="M84" s="12"/>
      <x:c r="N84" s="12"/>
      <x:c r="O84" s="12"/>
      <x:c r="P84" s="14"/>
      <x:c r="Q84" s="9" t="str">
        <x:v>H07 Crocodile; шаг 3/6
https://app.hackthebox.com/starting-point
Вместо блока, один вариант: HA01, HA02, HVA02; карточки в документе 12.</x:v>
      </x:c>
      <x:c r="R84" s="10" t="d">
        <x:v>2026-12-24T00:00:00.000Z</x:v>
      </x:c>
      <x:c r="S84" s="10" t="d">
        <x:v>2026-12-30T00:00:00.000Z</x:v>
      </x:c>
      <x:c r="T84" s="10" t="d">
        <x:v>2027-01-20T00:00:00.000Z</x:v>
      </x:c>
    </x:row>
    <x:row r="85" ht="100" hidden="0" customHeight="1">
      <x:c r="A85" s="10" t="d">
        <x:v>2026-12-24T00:00:00.000Z</x:v>
      </x:c>
      <x:c r="B85" s="9" t="str">
        <x:v>чт</x:v>
      </x:c>
      <x:c r="C85" s="9" t="n">
        <x:v>17</x:v>
      </x:c>
      <x:c r="D85" s="9" t="str">
        <x:v>изучение</x:v>
      </x:c>
      <x:c r="E85" s="9" t="str">
        <x:v>Crocodile — шаг 4 из 6</x:v>
      </x:c>
      <x:c r="F85" s="9" t="str">
        <x:v>Изучить и проверить: Сетевые сервисы; FTP и web; цепочка подтверждённых переходов.</x:v>
      </x:c>
      <x:c r="G85" s="9" t="str">
        <x:v>Продолжи тот же Crocodile до результата задач площадки. Объясни каждое звено пути и контекст доступа. При недоступности — локальная замена из карточки H07 в документе 12.
Локальная замена: В своей VM открой localhost HTTP-сервис с двумя тестовыми файлами. Построй карту сервис файл web-ресурс, проверь успешное чтение и несуществующий путь. Все данные и адреса остаются локальными. Продолжай один и тот же локальный пример по шагу текущего дня.</x:v>
      </x:c>
      <x:c r="H85" s="9" t="str">
        <x:v>Nmap, FTP-клиент, браузер, Repeater</x:v>
      </x:c>
      <x:c r="I85" s="9" t="str">
        <x:v>RU50 Microsoft Learn Аутентификация FTP — Режимы FTP
https://learn.microsoft.com/ru-ru/iis/configuration/system.applicationhost/sites/site/ftpserver/security/authentication/
RU06 MDN Обзор протокола HTTP — HTTP запрос и ответ
https://developer.mozilla.org/ru/docs/Web/HTTP/Guides/Overview
RU10 Nmap Справочное руководство на русском — Вывод о сервисе
https://nmap.org/man/ru/</x:v>
      </x:c>
      <x:c r="J85" s="9" t="str">
        <x:v>Meow Fawn Dancing Redeemer Appointment Sequel; HTTP и чтение файлов.</x:v>
      </x:c>
      <x:c r="K85" s="9" t="str">
        <x:v>Что подтверждено собственным наблюдением, какой неверный контроль это ограничивает и смогу ли я повторить шаг без ИИ?</x:v>
      </x:c>
      <x:c r="L85" s="9" t="str">
        <x:v>2026-12-24_H07_note.md: вход, версия, наблюдение, контроль, подсказки и следующий шаг</x:v>
      </x:c>
      <x:c r="M85" s="12"/>
      <x:c r="N85" s="12"/>
      <x:c r="O85" s="12"/>
      <x:c r="P85" s="14"/>
      <x:c r="Q85" s="9" t="str">
        <x:v>H07 Crocodile; шаг 4/6
https://app.hackthebox.com/starting-point
Вместо блока, один вариант: HA01, HA02, HVA02; карточки в документе 12.</x:v>
      </x:c>
      <x:c r="R85" s="10" t="d">
        <x:v>2026-12-25T00:00:00.000Z</x:v>
      </x:c>
      <x:c r="S85" s="10" t="d">
        <x:v>2026-12-31T00:00:00.000Z</x:v>
      </x:c>
      <x:c r="T85" s="10" t="d">
        <x:v>2027-01-21T00:00:00.000Z</x:v>
      </x:c>
    </x:row>
    <x:row r="86" ht="100" hidden="0" customHeight="1">
      <x:c r="A86" s="10" t="d">
        <x:v>2026-12-25T00:00:00.000Z</x:v>
      </x:c>
      <x:c r="B86" s="9" t="str">
        <x:v>пт</x:v>
      </x:c>
      <x:c r="C86" s="9" t="n">
        <x:v>17</x:v>
      </x:c>
      <x:c r="D86" s="9" t="str">
        <x:v>изучение</x:v>
      </x:c>
      <x:c r="E86" s="9" t="str">
        <x:v>Crocodile — шаг 5 из 6</x:v>
      </x:c>
      <x:c r="F86" s="9" t="str">
        <x:v>Изучить и проверить: Сетевые сервисы; FTP и web; цепочка подтверждённых переходов.</x:v>
      </x:c>
      <x:c r="G86" s="9" t="str">
        <x:v>Повтори ключевой переход Crocodile по своей заметке. Проверь обычный и неверный контроль и отдели факт от предположения. При недоступности — локальная замена из карточки H07 в документе 12.
Локальная замена: В своей VM открой localhost HTTP-сервис с двумя тестовыми файлами. Построй карту сервис файл web-ресурс, проверь успешное чтение и несуществующий путь. Все данные и адреса остаются локальными. Продолжай один и тот же локальный пример по шагу текущего дня.</x:v>
      </x:c>
      <x:c r="H86" s="9" t="str">
        <x:v>Nmap, FTP-клиент, браузер, Repeater</x:v>
      </x:c>
      <x:c r="I86" s="9" t="str">
        <x:v>RU50 Microsoft Learn Аутентификация FTP — Режимы FTP
https://learn.microsoft.com/ru-ru/iis/configuration/system.applicationhost/sites/site/ftpserver/security/authentication/
RU06 MDN Обзор протокола HTTP — HTTP запрос и ответ
https://developer.mozilla.org/ru/docs/Web/HTTP/Guides/Overview
RU10 Nmap Справочное руководство на русском — Вывод о сервисе
https://nmap.org/man/ru/</x:v>
      </x:c>
      <x:c r="J86" s="9" t="str">
        <x:v>Meow Fawn Dancing Redeemer Appointment Sequel; HTTP и чтение файлов.</x:v>
      </x:c>
      <x:c r="K86" s="9" t="str">
        <x:v>Что подтверждено собственным наблюдением, какой неверный контроль это ограничивает и смогу ли я повторить шаг без ИИ?</x:v>
      </x:c>
      <x:c r="L86" s="9" t="str">
        <x:v>2026-12-25_H07_note.md: вход, версия, наблюдение, контроль, подсказки и следующий шаг</x:v>
      </x:c>
      <x:c r="M86" s="12"/>
      <x:c r="N86" s="12"/>
      <x:c r="O86" s="12"/>
      <x:c r="P86" s="14"/>
      <x:c r="Q86" s="9" t="str">
        <x:v>H07 Crocodile; шаг 5/6
https://app.hackthebox.com/starting-point
Вместо блока, один вариант: HA01, HA02, HVA02; карточки в документе 12.</x:v>
      </x:c>
      <x:c r="R86" s="10" t="d">
        <x:v>2026-12-26T00:00:00.000Z</x:v>
      </x:c>
      <x:c r="S86" s="10" t="d">
        <x:v>2027-01-01T00:00:00.000Z</x:v>
      </x:c>
      <x:c r="T86" s="10" t="d">
        <x:v>2027-01-22T00:00:00.000Z</x:v>
      </x:c>
    </x:row>
    <x:row r="87" ht="100" hidden="0" customHeight="1">
      <x:c r="A87" s="10" t="d">
        <x:v>2026-12-26T00:00:00.000Z</x:v>
      </x:c>
      <x:c r="B87" s="9" t="str">
        <x:v>сб</x:v>
      </x:c>
      <x:c r="C87" s="9" t="n">
        <x:v>17</x:v>
      </x:c>
      <x:c r="D87" s="9" t="str">
        <x:v>повторение</x:v>
      </x:c>
      <x:c r="E87" s="9" t="str">
        <x:v>Crocodile — шаг 6 из 6</x:v>
      </x:c>
      <x:c r="F87" s="9" t="str">
        <x:v>Повторить и применить: Сетевые сервисы; FTP и web; цепочка подтверждённых переходов.</x:v>
      </x:c>
      <x:c r="G87" s="9" t="str">
        <x:v>Закрой Crocodile: отметка решения, короткий write-up с доказательствами, ограничения и остановка экземпляра. При незавершении сохрани один следующий шаг. При недоступности — локальная замена из карточки H07 в документе 12.
Локальная замена: В своей VM открой localhost HTTP-сервис с двумя тестовыми файлами. Построй карту сервис файл web-ресурс, проверь успешное чтение и несуществующий путь. Все данные и адреса остаются локальными. Продолжай один и тот же локальный пример по шагу текущего дня.</x:v>
      </x:c>
      <x:c r="H87" s="9" t="str">
        <x:v>Nmap, FTP-клиент, браузер, Repeater</x:v>
      </x:c>
      <x:c r="I87" s="9" t="str">
        <x:v>RU50 Microsoft Learn Аутентификация FTP — Режимы FTP
https://learn.microsoft.com/ru-ru/iis/configuration/system.applicationhost/sites/site/ftpserver/security/authentication/
RU06 MDN Обзор протокола HTTP — HTTP запрос и ответ
https://developer.mozilla.org/ru/docs/Web/HTTP/Guides/Overview
RU10 Nmap Справочное руководство на русском — Вывод о сервисе
https://nmap.org/man/ru/</x:v>
      </x:c>
      <x:c r="J87" s="9" t="str">
        <x:v>Meow Fawn Dancing Redeemer Appointment Sequel; HTTP и чтение файлов.</x:v>
      </x:c>
      <x:c r="K87" s="9" t="str">
        <x:v>Что подтверждено собственным наблюдением, какой неверный контроль это ограничивает и смогу ли я повторить шаг без ИИ?</x:v>
      </x:c>
      <x:c r="L87" s="9" t="str">
        <x:v>2026-12-26_H07_note.md: вход, версия, наблюдение, контроль, подсказки и следующий шаг</x:v>
      </x:c>
      <x:c r="M87" s="12"/>
      <x:c r="N87" s="12"/>
      <x:c r="O87" s="12"/>
      <x:c r="P87" s="14"/>
      <x:c r="Q87" s="9" t="str">
        <x:v>H07 Crocodile; шаг 6/6
https://app.hackthebox.com/starting-point
Вместо блока, один вариант: HA01, HA02, HVA02; карточки в документе 12.</x:v>
      </x:c>
      <x:c r="R87" s="10" t="d">
        <x:v>2026-12-27T00:00:00.000Z</x:v>
      </x:c>
      <x:c r="S87" s="10" t="d">
        <x:v>2027-01-02T00:00:00.000Z</x:v>
      </x:c>
      <x:c r="T87" s="10" t="d">
        <x:v>2027-01-23T00:00:00.000Z</x:v>
      </x:c>
    </x:row>
    <x:row r="88" ht="28" hidden="0" customHeight="1">
      <x:c r="A88" s="10" t="d">
        <x:v>2026-12-27T00:00:00.000Z</x:v>
      </x:c>
      <x:c r="B88" s="9" t="str">
        <x:v>вс</x:v>
      </x:c>
      <x:c r="C88" s="9" t="n">
        <x:v>17</x:v>
      </x:c>
      <x:c r="D88" s="9" t="str">
        <x:v>повторение</x:v>
      </x:c>
      <x:c r="E88" s="9" t="str">
        <x:v>Повторение Карточка сервиса для дальнейшей проверки</x:v>
      </x:c>
      <x:c r="F88" s="9" t="str">
        <x:v>Вспомнить Назначение и объяснить один отрицательный контроль по готовой заметке.</x:v>
      </x:c>
      <x:c r="G88" s="9" t="str">
        <x:v>Сверить ответ с собственной записью. Новую лабораторию не открывать.</x:v>
      </x:c>
      <x:c r="H88" s="9" t="str">
        <x:v>Своя VM, штатный client сервиса</x:v>
      </x:c>
      <x:c r="I88" s="9" t="str">
        <x:v>Своя готовая заметка по теме; нового чтения нет</x:v>
      </x:c>
      <x:c r="J88" s="9" t="str">
        <x:v>Подтверждён предыдущий механизм; действуют условия темы и разрешённой лаборатории.</x:v>
      </x:c>
      <x:c r="K88" s="9" t="str">
        <x:v>Какой факт недели лучше всего подтверждает освоенный механизм?</x:v>
      </x:c>
      <x:c r="L88" s="9" t="str">
        <x:v>Карточка памяти по готовой заметке</x:v>
      </x:c>
      <x:c r="M88" s="12"/>
      <x:c r="N88" s="12"/>
      <x:c r="O88" s="12"/>
      <x:c r="P88" s="14"/>
      <x:c r="Q88" s="9" t="str">
        <x:v>своя заметка</x:v>
      </x:c>
      <x:c r="R88" s="10" t="d">
        <x:v>2026-12-28T00:00:00.000Z</x:v>
      </x:c>
      <x:c r="S88" s="10" t="d">
        <x:v>2027-01-03T00:00:00.000Z</x:v>
      </x:c>
      <x:c r="T88" s="10" t="d">
        <x:v>2027-01-24T00:00:00.000Z</x:v>
      </x:c>
    </x:row>
    <x:row r="89" ht="88" hidden="0" customHeight="1">
      <x:c r="A89" s="10" t="d">
        <x:v>2026-12-28T00:00:00.000Z</x:v>
      </x:c>
      <x:c r="B89" s="9" t="str">
        <x:v>пн</x:v>
      </x:c>
      <x:c r="C89" s="9" t="n">
        <x:v>18</x:v>
      </x:c>
      <x:c r="D89" s="9" t="str">
        <x:v>изучение</x:v>
      </x:c>
      <x:c r="E89" s="9" t="str">
        <x:v>Самостоятельный повтор SysAdmin Part 1 — файлы и пользователи linux</x:v>
      </x:c>
      <x:c r="F89" s="9" t="str">
        <x:v>Изучить и проверить: Файлы и пользователи Linux; права и контекст процесса; воспроизводимый поиск.</x:v>
      </x:c>
      <x:c r="G89" s="9" t="str">
        <x:v>Без ИИ и write-up повтори SysAdmin Part 1 в выданной sandbox. Объясни контекст пользователя, путь и права, затем сверь с прежней заметкой. Если не получилось, это остаётся повтором, а не новым зачётом. При недоступности — локальная замена из карточки R89 в документе 12.
Локальная замена: В своей Linux VM создай папку с двумя тестовыми файлами. Для одного запиши владельца, права и результат поиска и чтения. Проверь несуществующий путь как отрицательный контроль. Продолжай один и тот же локальный пример по шагу текущего дня.</x:v>
      </x:c>
      <x:c r="H89" s="9" t="str">
        <x:v>Linux shell, средства чтения и поиска, sandbox</x:v>
      </x:c>
      <x:c r="I89" s="9" t="str">
        <x:v>RU03 METANIT Командная строка Linux — Файлы пользователи права и процессы
https://metanit.com/os/linux/</x:v>
      </x:c>
      <x:c r="J89" s="9" t="str">
        <x:v>Терминал Linux; пользователи группы и права; sandbox из условия.</x:v>
      </x:c>
      <x:c r="K89" s="9" t="str">
        <x:v>Что подтверждено собственным наблюдением, какой неверный контроль это ограничивает и смогу ли я повторить шаг без ИИ?</x:v>
      </x:c>
      <x:c r="L89" s="9" t="str">
        <x:v>2026-12-28_R89_note.md: вход, версия, наблюдение, контроль, подсказки и следующий шаг</x:v>
      </x:c>
      <x:c r="M89" s="12"/>
      <x:c r="N89" s="12"/>
      <x:c r="O89" s="12"/>
      <x:c r="P89" s="14"/>
      <x:c r="Q89" s="9" t="str">
        <x:v>R89 SysAdmin Part 1; шаг 1/1
https://ringzer0ctf.com/challenges/89
Вместо блока, один вариант: HR1; карточки в документе 12.</x:v>
      </x:c>
      <x:c r="R89" s="10" t="d">
        <x:v>2026-12-29T00:00:00.000Z</x:v>
      </x:c>
      <x:c r="S89" s="10" t="d">
        <x:v>2027-01-04T00:00:00.000Z</x:v>
      </x:c>
      <x:c r="T89" s="10" t="d">
        <x:v>2027-01-25T00:00:00.000Z</x:v>
      </x:c>
    </x:row>
    <x:row r="90" ht="76" hidden="0" customHeight="1">
      <x:c r="A90" s="10" t="d">
        <x:v>2026-12-29T00:00:00.000Z</x:v>
      </x:c>
      <x:c r="B90" s="9" t="str">
        <x:v>вт</x:v>
      </x:c>
      <x:c r="C90" s="9" t="n">
        <x:v>18</x:v>
      </x:c>
      <x:c r="D90" s="9" t="str">
        <x:v>изучение</x:v>
      </x:c>
      <x:c r="E90" s="9" t="str">
        <x:v>Самостоятельный повтор Cap — шаг 1 из 2</x:v>
      </x:c>
      <x:c r="F90" s="9" t="str">
        <x:v>Изучить и проверить: Повтор IDOR и анализа PCAP; Linux capabilities; проверяемый путь полномочий.</x:v>
      </x:c>
      <x:c r="G90" s="9" t="str">
        <x:v>Повтори Cap без готового решения: составь карту объектов и восстанови один разрешённый путь к учебному PCAP. Сохрани доказательство нарушения владения; секреты в отчёте замени маркерами. При недоступности — локальная замена из карточки H08 в документе 12.
Локальная замена: В своей HTTP-lab создай два тестовых объекта разных владельцев и проверь доступ; затем сравни права двух собственных процессов по готовому выводу capabilities. Не выдавай модель за повтор всей Cap.</x:v>
      </x:c>
      <x:c r="H90" s="9" t="str">
        <x:v>DevTools, Wireshark, Linux VM, getcap</x:v>
      </x:c>
      <x:c r="I90" s="9" t="str">
        <x:v>RU05 OWASP ASVS 5.0.0 русский перевод — V8: авторизация и владение объектом
https://github.com/OWASP/ASVS
RU44 Debian manpages capabilities — Смысл capability и эффективные полномочия
https://manpages.debian.org/trixie/manpages-ru/capabilities.7.ru.html</x:v>
      </x:c>
      <x:c r="J90" s="9" t="str">
        <x:v>На скриншоте user/system получены 02.10.2026 с ИИ. Для повтора: HTTP, объектные права, SysAdmin Part 1, понятие capabilities.</x:v>
      </x:c>
      <x:c r="K90" s="9" t="str">
        <x:v>Что подтверждено собственным наблюдением, какой неверный контроль это ограничивает и смогу ли я повторить шаг без ИИ?</x:v>
      </x:c>
      <x:c r="L90" s="9" t="str">
        <x:v>2026-12-29_H08_note.md: вход, версия, наблюдение, контроль, подсказки и следующий шаг</x:v>
      </x:c>
      <x:c r="M90" s="12"/>
      <x:c r="N90" s="12"/>
      <x:c r="O90" s="12"/>
      <x:c r="P90" s="14"/>
      <x:c r="Q90" s="9" t="str">
        <x:v>H08 Cap; шаг 1/2
https://app.hackthebox.com/machines/351
Вместо блока, один вариант: HR1; карточки в документе 12.</x:v>
      </x:c>
      <x:c r="R90" s="10" t="d">
        <x:v>2026-12-30T00:00:00.000Z</x:v>
      </x:c>
      <x:c r="S90" s="10" t="d">
        <x:v>2027-01-05T00:00:00.000Z</x:v>
      </x:c>
      <x:c r="T90" s="10" t="d">
        <x:v>2027-01-26T00:00:00.000Z</x:v>
      </x:c>
    </x:row>
    <x:row r="91" ht="76" hidden="0" customHeight="1">
      <x:c r="A91" s="10" t="d">
        <x:v>2026-12-30T00:00:00.000Z</x:v>
      </x:c>
      <x:c r="B91" s="9" t="str">
        <x:v>ср</x:v>
      </x:c>
      <x:c r="C91" s="9" t="n">
        <x:v>18</x:v>
      </x:c>
      <x:c r="D91" s="9" t="str">
        <x:v>изучение</x:v>
      </x:c>
      <x:c r="E91" s="9" t="str">
        <x:v>Самостоятельный повтор Cap — шаг 2 из 2</x:v>
      </x:c>
      <x:c r="F91" s="9" t="str">
        <x:v>Изучить и проверить: Повтор IDOR и анализа PCAP; Linux capabilities; проверяемый путь полномочий.</x:v>
      </x:c>
      <x:c r="G91" s="9" t="str">
        <x:v>Продолжи тот же Cap: объясни фактическую capability и её влияние на права процесса. Повтори путь из чистого состояния, опиши ограничение доступа и сравни с прошлым решением с ИИ. При недоступности — локальная замена из карточки H08 в документе 12.
Локальная замена: В своей HTTP-lab создай два тестовых объекта разных владельцев и проверь доступ; затем сравни права двух собственных процессов по готовому выводу capabilities. Не выдавай модель за повтор всей Cap.</x:v>
      </x:c>
      <x:c r="H91" s="9" t="str">
        <x:v>DevTools, Wireshark, Linux VM, getcap</x:v>
      </x:c>
      <x:c r="I91" s="9" t="str">
        <x:v>RU05 OWASP ASVS 5.0.0 русский перевод — V8: авторизация и владение объектом
https://github.com/OWASP/ASVS
RU44 Debian manpages capabilities — Смысл capability и эффективные полномочия
https://manpages.debian.org/trixie/manpages-ru/capabilities.7.ru.html</x:v>
      </x:c>
      <x:c r="J91" s="9" t="str">
        <x:v>На скриншоте user/system получены 02.10.2026 с ИИ. Для повтора: HTTP, объектные права, SysAdmin Part 1, понятие capabilities.</x:v>
      </x:c>
      <x:c r="K91" s="9" t="str">
        <x:v>Что подтверждено собственным наблюдением, какой неверный контроль это ограничивает и смогу ли я повторить шаг без ИИ?</x:v>
      </x:c>
      <x:c r="L91" s="9" t="str">
        <x:v>2026-12-30_H08_note.md: вход, версия, наблюдение, контроль, подсказки и следующий шаг</x:v>
      </x:c>
      <x:c r="M91" s="12"/>
      <x:c r="N91" s="12"/>
      <x:c r="O91" s="12"/>
      <x:c r="P91" s="14"/>
      <x:c r="Q91" s="9" t="str">
        <x:v>H08 Cap; шаг 2/2
https://app.hackthebox.com/machines/351
Вместо блока, один вариант: HR1; карточки в документе 12.</x:v>
      </x:c>
      <x:c r="R91" s="10" t="d">
        <x:v>2026-12-31T00:00:00.000Z</x:v>
      </x:c>
      <x:c r="S91" s="10" t="d">
        <x:v>2027-01-06T00:00:00.000Z</x:v>
      </x:c>
      <x:c r="T91" s="10" t="d">
        <x:v>2027-01-27T00:00:00.000Z</x:v>
      </x:c>
    </x:row>
    <x:row r="92" ht="100" hidden="0" customHeight="1">
      <x:c r="A92" s="10" t="d">
        <x:v>2026-12-31T00:00:00.000Z</x:v>
      </x:c>
      <x:c r="B92" s="9" t="str">
        <x:v>чт</x:v>
      </x:c>
      <x:c r="C92" s="9" t="n">
        <x:v>18</x:v>
      </x:c>
      <x:c r="D92" s="9" t="str">
        <x:v>изучение</x:v>
      </x:c>
      <x:c r="E92" s="9" t="str">
        <x:v>SysAdmin Part 2 — шаг 1 из 3</x:v>
      </x:c>
      <x:c r="F92" s="9" t="str">
        <x:v>Изучить и проверить: Права и владельцы; путь к данным; ограничения контекста.</x:v>
      </x:c>
      <x:c r="G92" s="9" t="str">
        <x:v>Открой SysAdmin Part 2. Выпиши отличия условия от Part 1 и выбери одну гипотезу о правах или пути к данным. При недоступности — локальная замена из карточки R148 в документе 12.
Локальная замена: В той же Linux VM сравни права файла и каталога, доступ к нему и результат проверки отсутствующего пути. Запиши контекст пользователя и причину каждого результата. Продолжай один и тот же локальный пример по шагу текущего дня.</x:v>
      </x:c>
      <x:c r="H92" s="9" t="str">
        <x:v>Linux shell, sandbox RingZer0CTF</x:v>
      </x:c>
      <x:c r="I92" s="9" t="str">
        <x:v>RU03 METANIT Командная строка Linux — Пользователи права процессы и службы
https://metanit.com/os/linux/</x:v>
      </x:c>
      <x:c r="J92" s="9" t="str">
        <x:v>R89; обычный и неуспешный доступ в Linux.</x:v>
      </x:c>
      <x:c r="K92" s="9" t="str">
        <x:v>Что подтверждено собственным наблюдением, какой неверный контроль это ограничивает и смогу ли я повторить шаг без ИИ?</x:v>
      </x:c>
      <x:c r="L92" s="9" t="str">
        <x:v>2026-12-31_R148_note.md: вход, версия, наблюдение, контроль, подсказки и следующий шаг</x:v>
      </x:c>
      <x:c r="M92" s="12"/>
      <x:c r="N92" s="12"/>
      <x:c r="O92" s="12"/>
      <x:c r="P92" s="14"/>
      <x:c r="Q92" s="9" t="str">
        <x:v>R148 SysAdmin Part 2; шаг 1/3
https://ringzer0ctf.com/challenges/148
Вместо блока, один вариант: HR1, RA04, RA05; карточки в документе 12.</x:v>
      </x:c>
      <x:c r="R92" s="10" t="d">
        <x:v>2027-01-01T00:00:00.000Z</x:v>
      </x:c>
      <x:c r="S92" s="10" t="d">
        <x:v>2027-01-07T00:00:00.000Z</x:v>
      </x:c>
      <x:c r="T92" s="10" t="d">
        <x:v>2027-01-28T00:00:00.000Z</x:v>
      </x:c>
    </x:row>
    <x:row r="93" ht="100" hidden="0" customHeight="1">
      <x:c r="A93" s="10" t="d">
        <x:v>2027-01-01T00:00:00.000Z</x:v>
      </x:c>
      <x:c r="B93" s="9" t="str">
        <x:v>пт</x:v>
      </x:c>
      <x:c r="C93" s="9" t="n">
        <x:v>18</x:v>
      </x:c>
      <x:c r="D93" s="9" t="str">
        <x:v>изучение</x:v>
      </x:c>
      <x:c r="E93" s="9" t="str">
        <x:v>SysAdmin Part 2 — шаг 2 из 3</x:v>
      </x:c>
      <x:c r="F93" s="9" t="str">
        <x:v>Изучить и проверить: Права и владельцы; путь к данным; ограничения контекста.</x:v>
      </x:c>
      <x:c r="G93" s="9" t="str">
        <x:v>Продолжи Part 2: проверь гипотезу в выданном контексте и запиши фактическое изменение доступности. При недоступности — локальная замена из карточки R148 в документе 12.
Локальная замена: В той же Linux VM сравни права файла и каталога, доступ к нему и результат проверки отсутствующего пути. Запиши контекст пользователя и причину каждого результата. Продолжай один и тот же локальный пример по шагу текущего дня.</x:v>
      </x:c>
      <x:c r="H93" s="9" t="str">
        <x:v>Linux shell, sandbox RingZer0CTF</x:v>
      </x:c>
      <x:c r="I93" s="9" t="str">
        <x:v>RU03 METANIT Командная строка Linux — Пользователи права процессы и службы
https://metanit.com/os/linux/</x:v>
      </x:c>
      <x:c r="J93" s="9" t="str">
        <x:v>R89; обычный и неуспешный доступ в Linux.</x:v>
      </x:c>
      <x:c r="K93" s="9" t="str">
        <x:v>Что подтверждено собственным наблюдением, какой неверный контроль это ограничивает и смогу ли я повторить шаг без ИИ?</x:v>
      </x:c>
      <x:c r="L93" s="9" t="str">
        <x:v>2027-01-01_R148_note.md: вход, версия, наблюдение, контроль, подсказки и следующий шаг</x:v>
      </x:c>
      <x:c r="M93" s="12"/>
      <x:c r="N93" s="12"/>
      <x:c r="O93" s="12"/>
      <x:c r="P93" s="14"/>
      <x:c r="Q93" s="9" t="str">
        <x:v>R148 SysAdmin Part 2; шаг 2/3
https://ringzer0ctf.com/challenges/148
Вместо блока, один вариант: HR1, RA04, RA05; карточки в документе 12.</x:v>
      </x:c>
      <x:c r="R93" s="10" t="d">
        <x:v>2027-01-02T00:00:00.000Z</x:v>
      </x:c>
      <x:c r="S93" s="10" t="d">
        <x:v>2027-01-08T00:00:00.000Z</x:v>
      </x:c>
      <x:c r="T93" s="10" t="d">
        <x:v>2027-01-29T00:00:00.000Z</x:v>
      </x:c>
    </x:row>
    <x:row r="94" ht="100" hidden="0" customHeight="1">
      <x:c r="A94" s="10" t="d">
        <x:v>2027-01-02T00:00:00.000Z</x:v>
      </x:c>
      <x:c r="B94" s="9" t="str">
        <x:v>сб</x:v>
      </x:c>
      <x:c r="C94" s="9" t="n">
        <x:v>18</x:v>
      </x:c>
      <x:c r="D94" s="9" t="str">
        <x:v>повторение</x:v>
      </x:c>
      <x:c r="E94" s="9" t="str">
        <x:v>SysAdmin Part 2 — шаг 3 из 3</x:v>
      </x:c>
      <x:c r="F94" s="9" t="str">
        <x:v>Повторить и применить: Права и владельцы; путь к данным; ограничения контекста.</x:v>
      </x:c>
      <x:c r="G94" s="9" t="str">
        <x:v>Заверши Part 2 и повтори ключевой шаг из записи. Объясни требуемые права и то, что твой результат не доказывает. При недоступности — локальная замена из карточки R148 в документе 12.
Локальная замена: В той же Linux VM сравни права файла и каталога, доступ к нему и результат проверки отсутствующего пути. Запиши контекст пользователя и причину каждого результата. Продолжай один и тот же локальный пример по шагу текущего дня.</x:v>
      </x:c>
      <x:c r="H94" s="9" t="str">
        <x:v>Linux shell, sandbox RingZer0CTF</x:v>
      </x:c>
      <x:c r="I94" s="9" t="str">
        <x:v>RU03 METANIT Командная строка Linux — Пользователи права процессы и службы
https://metanit.com/os/linux/</x:v>
      </x:c>
      <x:c r="J94" s="9" t="str">
        <x:v>R89; обычный и неуспешный доступ в Linux.</x:v>
      </x:c>
      <x:c r="K94" s="9" t="str">
        <x:v>Что подтверждено собственным наблюдением, какой неверный контроль это ограничивает и смогу ли я повторить шаг без ИИ?</x:v>
      </x:c>
      <x:c r="L94" s="9" t="str">
        <x:v>2027-01-02_R148_note.md: вход, версия, наблюдение, контроль, подсказки и следующий шаг</x:v>
      </x:c>
      <x:c r="M94" s="12"/>
      <x:c r="N94" s="12"/>
      <x:c r="O94" s="12"/>
      <x:c r="P94" s="14"/>
      <x:c r="Q94" s="9" t="str">
        <x:v>R148 SysAdmin Part 2; шаг 3/3
https://ringzer0ctf.com/challenges/148
Вместо блока, один вариант: HR1, RA04, RA05; карточки в документе 12.</x:v>
      </x:c>
      <x:c r="R94" s="10" t="d">
        <x:v>2027-01-03T00:00:00.000Z</x:v>
      </x:c>
      <x:c r="S94" s="10" t="d">
        <x:v>2027-01-09T00:00:00.000Z</x:v>
      </x:c>
      <x:c r="T94" s="10" t="d">
        <x:v>2027-01-30T00:00:00.000Z</x:v>
      </x:c>
    </x:row>
    <x:row r="95" ht="28" hidden="0" customHeight="1">
      <x:c r="A95" s="10" t="d">
        <x:v>2027-01-03T00:00:00.000Z</x:v>
      </x:c>
      <x:c r="B95" s="9" t="str">
        <x:v>вс</x:v>
      </x:c>
      <x:c r="C95" s="9" t="n">
        <x:v>18</x:v>
      </x:c>
      <x:c r="D95" s="9" t="str">
        <x:v>повторение</x:v>
      </x:c>
      <x:c r="E95" s="9" t="str">
        <x:v>Повторение SysAdmin Part 1 и Part 2 по готовой заметке</x:v>
      </x:c>
      <x:c r="F95" s="9" t="str">
        <x:v>Вспомнить: Пользователь и права; путь к данным; ограничения вывода. Новое чтение не назначается.</x:v>
      </x:c>
      <x:c r="G95" s="9" t="str">
        <x:v>По собственной готовой записи объясни один успешный и один неверный контроль. Сверь вывод с заметкой. Новую лабораторию не открывай.</x:v>
      </x:c>
      <x:c r="H95" s="9" t="str">
        <x:v>Собственная готовая заметка</x:v>
      </x:c>
      <x:c r="I95" s="9" t="str">
        <x:v>Своя готовая заметка по теме; нового чтения нет</x:v>
      </x:c>
      <x:c r="J95" s="9" t="str">
        <x:v>Подтверждён предыдущий механизм; действуют условия темы и разрешённой лаборатории.</x:v>
      </x:c>
      <x:c r="K95" s="9" t="str">
        <x:v>Какое собственное наблюдение подтверждает вывод и что осталось неизвестным?</x:v>
      </x:c>
      <x:c r="L95" s="9" t="str">
        <x:v>Карточка памяти по готовой заметке</x:v>
      </x:c>
      <x:c r="M95" s="12"/>
      <x:c r="N95" s="12"/>
      <x:c r="O95" s="12"/>
      <x:c r="P95" s="14"/>
      <x:c r="Q95" s="9" t="str">
        <x:v>своя заметка</x:v>
      </x:c>
      <x:c r="R95" s="10" t="d">
        <x:v>2027-01-04T00:00:00.000Z</x:v>
      </x:c>
      <x:c r="S95" s="10" t="d">
        <x:v>2027-01-11T00:00:00.000Z</x:v>
      </x:c>
      <x:c r="T95" s="10" t="d">
        <x:v>2027-02-01T00:00:00.000Z</x:v>
      </x:c>
    </x:row>
    <x:row r="96" ht="112" hidden="0" customHeight="1">
      <x:c r="A96" s="10" t="d">
        <x:v>2027-01-04T00:00:00.000Z</x:v>
      </x:c>
      <x:c r="B96" s="9" t="str">
        <x:v>пн</x:v>
      </x:c>
      <x:c r="C96" s="9" t="n">
        <x:v>19</x:v>
      </x:c>
      <x:c r="D96" s="9" t="str">
        <x:v>изучение</x:v>
      </x:c>
      <x:c r="E96" s="9" t="str">
        <x:v>Archetype — шаг 1 из 6</x:v>
      </x:c>
      <x:c r="F96" s="9" t="str">
        <x:v>Изучить и проверить: Windows: служба и учётная запись; SMB и доступ к SQL-сервису; ACL и чувствительные локальные данные.</x:v>
      </x:c>
      <x:c r="G96" s="9" t="str">
        <x:v>Открой Archetype в Tier 2. Проверь доступ, выданный адрес и доступные сервисы; составь таблицу сервис — identity — область проверки. При недоступности — локальная замена из карточки H09 в документе 12.
Локальная замена: Продолжай свою Windows VM: текущий token, ACL тестовой папки, права тестовой службы и исправление. Сравни доступ обычной и разрешённой тестовой учётной записи.</x:v>
      </x:c>
      <x:c r="H96" s="9" t="str">
        <x:v>Nmap, клиент SMB/SQL, PowerShell, Windows VM</x:v>
      </x:c>
      <x:c r="I96" s="9" t="str">
        <x:v>RU42 Microsoft Learn Маркеры доступа — Token процесса и identity
https://learn.microsoft.com/ru-ru/windows/win32/secauthz/access-tokens
RU13 Microsoft Learn Управление доступом Windows — Проверка доступа к объекту
https://learn.microsoft.com/ru-ru/windows/security/identity-protection/access-control/access-control
RU12 Microsoft Learn Службы Windows — Учётная запись и права службы
https://learn.microsoft.com/ru-ru/windows/win32/services/services</x:v>
      </x:c>
      <x:c r="J96" s="9" t="str">
        <x:v>Закрыты Starting Point Tier 0–1 Free, SMB и SQL; Windows token/ACL читаются до действия текущего дня. AD не требуется.</x:v>
      </x:c>
      <x:c r="K96" s="9" t="str">
        <x:v>Что подтверждено собственным наблюдением, какой неверный контроль это ограничивает и смогу ли я повторить шаг без ИИ?</x:v>
      </x:c>
      <x:c r="L96" s="9" t="str">
        <x:v>2027-01-04_H09_note.md: вход, версия, наблюдение, контроль, подсказки и следующий шаг</x:v>
      </x:c>
      <x:c r="M96" s="12"/>
      <x:c r="N96" s="12"/>
      <x:c r="O96" s="12"/>
      <x:c r="P96" s="14"/>
      <x:c r="Q96" s="9" t="str">
        <x:v>H09 Archetype; шаг 1/6
https://app.hackthebox.com/starting-point</x:v>
      </x:c>
      <x:c r="R96" s="10" t="d">
        <x:v>2027-01-05T00:00:00.000Z</x:v>
      </x:c>
      <x:c r="S96" s="10" t="d">
        <x:v>2027-01-11T00:00:00.000Z</x:v>
      </x:c>
      <x:c r="T96" s="10" t="d">
        <x:v>2027-02-01T00:00:00.000Z</x:v>
      </x:c>
    </x:row>
    <x:row r="97" ht="112" hidden="0" customHeight="1">
      <x:c r="A97" s="10" t="d">
        <x:v>2027-01-05T00:00:00.000Z</x:v>
      </x:c>
      <x:c r="B97" s="9" t="str">
        <x:v>вт</x:v>
      </x:c>
      <x:c r="C97" s="9" t="n">
        <x:v>19</x:v>
      </x:c>
      <x:c r="D97" s="9" t="str">
        <x:v>изучение</x:v>
      </x:c>
      <x:c r="E97" s="9" t="str">
        <x:v>Archetype — шаг 2 из 6</x:v>
      </x:c>
      <x:c r="F97" s="9" t="str">
        <x:v>Изучить и проверить: Windows: служба и учётная запись; SMB и доступ к SQL-сервису; ACL и чувствительные локальные данные.</x:v>
      </x:c>
      <x:c r="G97" s="9" t="str">
        <x:v>Изучи ACL и чтение общего ресурса. В выданной машине установи, какие учебные данные доступны текущему контексту; чтение не доказывает запись. При недоступности — локальная замена из карточки H09 в документе 12.
Локальная замена: Продолжай свою Windows VM: текущий token, ACL тестовой папки, права тестовой службы и исправление. Сравни доступ обычной и разрешённой тестовой учётной записи.</x:v>
      </x:c>
      <x:c r="H97" s="9" t="str">
        <x:v>Nmap, клиент SMB/SQL, PowerShell, Windows VM</x:v>
      </x:c>
      <x:c r="I97" s="9" t="str">
        <x:v>RU42 Microsoft Learn Маркеры доступа — Token процесса и identity
https://learn.microsoft.com/ru-ru/windows/win32/secauthz/access-tokens
RU13 Microsoft Learn Управление доступом Windows — Проверка доступа к объекту
https://learn.microsoft.com/ru-ru/windows/security/identity-protection/access-control/access-control
RU12 Microsoft Learn Службы Windows — Учётная запись и права службы
https://learn.microsoft.com/ru-ru/windows/win32/services/services</x:v>
      </x:c>
      <x:c r="J97" s="9" t="str">
        <x:v>Закрыты Starting Point Tier 0–1 Free, SMB и SQL; Windows token/ACL читаются до действия текущего дня. AD не требуется.</x:v>
      </x:c>
      <x:c r="K97" s="9" t="str">
        <x:v>Что подтверждено собственным наблюдением, какой неверный контроль это ограничивает и смогу ли я повторить шаг без ИИ?</x:v>
      </x:c>
      <x:c r="L97" s="9" t="str">
        <x:v>2027-01-05_H09_note.md: вход, версия, наблюдение, контроль, подсказки и следующий шаг</x:v>
      </x:c>
      <x:c r="M97" s="12"/>
      <x:c r="N97" s="12"/>
      <x:c r="O97" s="12"/>
      <x:c r="P97" s="14"/>
      <x:c r="Q97" s="9" t="str">
        <x:v>H09 Archetype; шаг 2/6
https://app.hackthebox.com/starting-point</x:v>
      </x:c>
      <x:c r="R97" s="10" t="d">
        <x:v>2027-01-06T00:00:00.000Z</x:v>
      </x:c>
      <x:c r="S97" s="10" t="d">
        <x:v>2027-01-12T00:00:00.000Z</x:v>
      </x:c>
      <x:c r="T97" s="10" t="d">
        <x:v>2027-02-02T00:00:00.000Z</x:v>
      </x:c>
    </x:row>
    <x:row r="98" ht="112" hidden="0" customHeight="1">
      <x:c r="A98" s="10" t="d">
        <x:v>2027-01-06T00:00:00.000Z</x:v>
      </x:c>
      <x:c r="B98" s="9" t="str">
        <x:v>ср</x:v>
      </x:c>
      <x:c r="C98" s="9" t="n">
        <x:v>19</x:v>
      </x:c>
      <x:c r="D98" s="9" t="str">
        <x:v>изучение</x:v>
      </x:c>
      <x:c r="E98" s="9" t="str">
        <x:v>Archetype — шаг 3 из 6</x:v>
      </x:c>
      <x:c r="F98" s="9" t="str">
        <x:v>Изучить и проверить: Windows: служба и учётная запись; SMB и доступ к SQL-сервису; ACL и чувствительные локальные данные.</x:v>
      </x:c>
      <x:c r="G98" s="9" t="str">
        <x:v>Проверь один предусмотренный машиной переход от данных к сервисной учётной записи. Зафиксируй требуемые права и наблюдаемый token. При недоступности — локальная замена из карточки H09 в документе 12.
Локальная замена: Продолжай свою Windows VM: текущий token, ACL тестовой папки, права тестовой службы и исправление. Сравни доступ обычной и разрешённой тестовой учётной записи.</x:v>
      </x:c>
      <x:c r="H98" s="9" t="str">
        <x:v>Nmap, клиент SMB/SQL, PowerShell, Windows VM</x:v>
      </x:c>
      <x:c r="I98" s="9" t="str">
        <x:v>RU42 Microsoft Learn Маркеры доступа — Token процесса и identity
https://learn.microsoft.com/ru-ru/windows/win32/secauthz/access-tokens
RU13 Microsoft Learn Управление доступом Windows — Проверка доступа к объекту
https://learn.microsoft.com/ru-ru/windows/security/identity-protection/access-control/access-control
RU12 Microsoft Learn Службы Windows — Учётная запись и права службы
https://learn.microsoft.com/ru-ru/windows/win32/services/services</x:v>
      </x:c>
      <x:c r="J98" s="9" t="str">
        <x:v>Закрыты Starting Point Tier 0–1 Free, SMB и SQL; Windows token/ACL читаются до действия текущего дня. AD не требуется.</x:v>
      </x:c>
      <x:c r="K98" s="9" t="str">
        <x:v>Что подтверждено собственным наблюдением, какой неверный контроль это ограничивает и смогу ли я повторить шаг без ИИ?</x:v>
      </x:c>
      <x:c r="L98" s="9" t="str">
        <x:v>2027-01-06_H09_note.md: вход, версия, наблюдение, контроль, подсказки и следующий шаг</x:v>
      </x:c>
      <x:c r="M98" s="12"/>
      <x:c r="N98" s="12"/>
      <x:c r="O98" s="12"/>
      <x:c r="P98" s="14"/>
      <x:c r="Q98" s="9" t="str">
        <x:v>H09 Archetype; шаг 3/6
https://app.hackthebox.com/starting-point</x:v>
      </x:c>
      <x:c r="R98" s="10" t="d">
        <x:v>2027-01-07T00:00:00.000Z</x:v>
      </x:c>
      <x:c r="S98" s="10" t="d">
        <x:v>2027-01-13T00:00:00.000Z</x:v>
      </x:c>
      <x:c r="T98" s="10" t="d">
        <x:v>2027-02-03T00:00:00.000Z</x:v>
      </x:c>
    </x:row>
    <x:row r="99" ht="112" hidden="0" customHeight="1">
      <x:c r="A99" s="10" t="d">
        <x:v>2027-01-07T00:00:00.000Z</x:v>
      </x:c>
      <x:c r="B99" s="9" t="str">
        <x:v>чт</x:v>
      </x:c>
      <x:c r="C99" s="9" t="n">
        <x:v>19</x:v>
      </x:c>
      <x:c r="D99" s="9" t="str">
        <x:v>изучение</x:v>
      </x:c>
      <x:c r="E99" s="9" t="str">
        <x:v>Archetype — шаг 4 из 6</x:v>
      </x:c>
      <x:c r="F99" s="9" t="str">
        <x:v>Изучить и проверить: Windows: служба и учётная запись; SMB и доступ к SQL-сервису; ACL и чувствительные локальные данные.</x:v>
      </x:c>
      <x:c r="G99" s="9" t="str">
        <x:v>Разбери контекст службы и права её файлов на фактическом примере. Отдели раскрытие данных от изменения полномочий; не отключай защиту хоста. При недоступности — локальная замена из карточки H09 в документе 12.
Локальная замена: Продолжай свою Windows VM: текущий token, ACL тестовой папки, права тестовой службы и исправление. Сравни доступ обычной и разрешённой тестовой учётной записи.</x:v>
      </x:c>
      <x:c r="H99" s="9" t="str">
        <x:v>Nmap, клиент SMB/SQL, PowerShell, Windows VM</x:v>
      </x:c>
      <x:c r="I99" s="9" t="str">
        <x:v>RU42 Microsoft Learn Маркеры доступа — Token процесса и identity
https://learn.microsoft.com/ru-ru/windows/win32/secauthz/access-tokens
RU13 Microsoft Learn Управление доступом Windows — Проверка доступа к объекту
https://learn.microsoft.com/ru-ru/windows/security/identity-protection/access-control/access-control
RU12 Microsoft Learn Службы Windows — Учётная запись и права службы
https://learn.microsoft.com/ru-ru/windows/win32/services/services</x:v>
      </x:c>
      <x:c r="J99" s="9" t="str">
        <x:v>Закрыты Starting Point Tier 0–1 Free, SMB и SQL; Windows token/ACL читаются до действия текущего дня. AD не требуется.</x:v>
      </x:c>
      <x:c r="K99" s="9" t="str">
        <x:v>Что подтверждено собственным наблюдением, какой неверный контроль это ограничивает и смогу ли я повторить шаг без ИИ?</x:v>
      </x:c>
      <x:c r="L99" s="9" t="str">
        <x:v>2027-01-07_H09_note.md: вход, версия, наблюдение, контроль, подсказки и следующий шаг</x:v>
      </x:c>
      <x:c r="M99" s="12"/>
      <x:c r="N99" s="12"/>
      <x:c r="O99" s="12"/>
      <x:c r="P99" s="14"/>
      <x:c r="Q99" s="9" t="str">
        <x:v>H09 Archetype; шаг 4/6
https://app.hackthebox.com/starting-point</x:v>
      </x:c>
      <x:c r="R99" s="10" t="d">
        <x:v>2027-01-08T00:00:00.000Z</x:v>
      </x:c>
      <x:c r="S99" s="10" t="d">
        <x:v>2027-01-14T00:00:00.000Z</x:v>
      </x:c>
      <x:c r="T99" s="10" t="d">
        <x:v>2027-02-04T00:00:00.000Z</x:v>
      </x:c>
    </x:row>
    <x:row r="100" ht="112" hidden="0" customHeight="1">
      <x:c r="A100" s="10" t="d">
        <x:v>2027-01-08T00:00:00.000Z</x:v>
      </x:c>
      <x:c r="B100" s="9" t="str">
        <x:v>пт</x:v>
      </x:c>
      <x:c r="C100" s="9" t="n">
        <x:v>19</x:v>
      </x:c>
      <x:c r="D100" s="9" t="str">
        <x:v>изучение</x:v>
      </x:c>
      <x:c r="E100" s="9" t="str">
        <x:v>Archetype — шаг 5 из 6</x:v>
      </x:c>
      <x:c r="F100" s="9" t="str">
        <x:v>Изучить и проверить: Windows: служба и учётная запись; SMB и доступ к SQL-сервису; ACL и чувствительные локальные данные.</x:v>
      </x:c>
      <x:c r="G100" s="9" t="str">
        <x:v>Заверши разрешённую цепочку Archetype. Для каждого перехода запиши предпосылку, наблюдение и возможное защитное ограничение. При недоступности — локальная замена из карточки H09 в документе 12.
Локальная замена: Продолжай свою Windows VM: текущий token, ACL тестовой папки, права тестовой службы и исправление. Сравни доступ обычной и разрешённой тестовой учётной записи.</x:v>
      </x:c>
      <x:c r="H100" s="9" t="str">
        <x:v>Nmap, клиент SMB/SQL, PowerShell, Windows VM</x:v>
      </x:c>
      <x:c r="I100" s="9" t="str">
        <x:v>RU42 Microsoft Learn Маркеры доступа — Token процесса и identity
https://learn.microsoft.com/ru-ru/windows/win32/secauthz/access-tokens
RU13 Microsoft Learn Управление доступом Windows — Проверка доступа к объекту
https://learn.microsoft.com/ru-ru/windows/security/identity-protection/access-control/access-control
RU12 Microsoft Learn Службы Windows — Учётная запись и права службы
https://learn.microsoft.com/ru-ru/windows/win32/services/services</x:v>
      </x:c>
      <x:c r="J100" s="9" t="str">
        <x:v>Закрыты Starting Point Tier 0–1 Free, SMB и SQL; Windows token/ACL читаются до действия текущего дня. AD не требуется.</x:v>
      </x:c>
      <x:c r="K100" s="9" t="str">
        <x:v>Что подтверждено собственным наблюдением, какой неверный контроль это ограничивает и смогу ли я повторить шаг без ИИ?</x:v>
      </x:c>
      <x:c r="L100" s="9" t="str">
        <x:v>2027-01-08_H09_note.md: вход, версия, наблюдение, контроль, подсказки и следующий шаг</x:v>
      </x:c>
      <x:c r="M100" s="12"/>
      <x:c r="N100" s="12"/>
      <x:c r="O100" s="12"/>
      <x:c r="P100" s="14"/>
      <x:c r="Q100" s="9" t="str">
        <x:v>H09 Archetype; шаг 5/6
https://app.hackthebox.com/starting-point</x:v>
      </x:c>
      <x:c r="R100" s="10" t="d">
        <x:v>2027-01-09T00:00:00.000Z</x:v>
      </x:c>
      <x:c r="S100" s="10" t="d">
        <x:v>2027-01-15T00:00:00.000Z</x:v>
      </x:c>
      <x:c r="T100" s="10" t="d">
        <x:v>2027-02-05T00:00:00.000Z</x:v>
      </x:c>
    </x:row>
    <x:row r="101" ht="112" hidden="0" customHeight="1">
      <x:c r="A101" s="10" t="d">
        <x:v>2027-01-09T00:00:00.000Z</x:v>
      </x:c>
      <x:c r="B101" s="9" t="str">
        <x:v>сб</x:v>
      </x:c>
      <x:c r="C101" s="9" t="n">
        <x:v>19</x:v>
      </x:c>
      <x:c r="D101" s="9" t="str">
        <x:v>повторение</x:v>
      </x:c>
      <x:c r="E101" s="9" t="str">
        <x:v>Archetype — шаг 6 из 6</x:v>
      </x:c>
      <x:c r="F101" s="9" t="str">
        <x:v>Повторить и применить: Windows: служба и учётная запись; SMB и доступ к SQL-сервису; ACL и чувствительные локальные данные.</x:v>
      </x:c>
      <x:c r="G101" s="9" t="str">
        <x:v>Повтори уже найденный путь без write-up, оформи отчёт и cleanup. Если цепочка не закончена, сохрани первый незавершённый шаг вместо второй машины. При недоступности — локальная замена из карточки H09 в документе 12.
Локальная замена: Продолжай свою Windows VM: текущий token, ACL тестовой папки, права тестовой службы и исправление. Сравни доступ обычной и разрешённой тестовой учётной записи.</x:v>
      </x:c>
      <x:c r="H101" s="9" t="str">
        <x:v>Nmap, клиент SMB/SQL, PowerShell, Windows VM</x:v>
      </x:c>
      <x:c r="I101" s="9" t="str">
        <x:v>RU42 Microsoft Learn Маркеры доступа — Token процесса и identity
https://learn.microsoft.com/ru-ru/windows/win32/secauthz/access-tokens
RU13 Microsoft Learn Управление доступом Windows — Проверка доступа к объекту
https://learn.microsoft.com/ru-ru/windows/security/identity-protection/access-control/access-control
RU12 Microsoft Learn Службы Windows — Учётная запись и права службы
https://learn.microsoft.com/ru-ru/windows/win32/services/services</x:v>
      </x:c>
      <x:c r="J101" s="9" t="str">
        <x:v>Закрыты Starting Point Tier 0–1 Free, SMB и SQL; Windows token/ACL читаются до действия текущего дня. AD не требуется.</x:v>
      </x:c>
      <x:c r="K101" s="9" t="str">
        <x:v>Что подтверждено собственным наблюдением, какой неверный контроль это ограничивает и смогу ли я повторить шаг без ИИ?</x:v>
      </x:c>
      <x:c r="L101" s="9" t="str">
        <x:v>2027-01-09_H09_note.md: вход, версия, наблюдение, контроль, подсказки и следующий шаг</x:v>
      </x:c>
      <x:c r="M101" s="12"/>
      <x:c r="N101" s="12"/>
      <x:c r="O101" s="12"/>
      <x:c r="P101" s="14"/>
      <x:c r="Q101" s="9" t="str">
        <x:v>H09 Archetype; шаг 6/6
https://app.hackthebox.com/starting-point</x:v>
      </x:c>
      <x:c r="R101" s="10" t="d">
        <x:v>2027-01-11T00:00:00.000Z</x:v>
      </x:c>
      <x:c r="S101" s="10" t="d">
        <x:v>2027-01-16T00:00:00.000Z</x:v>
      </x:c>
      <x:c r="T101" s="10" t="d">
        <x:v>2027-02-06T00:00:00.000Z</x:v>
      </x:c>
    </x:row>
    <x:row r="102" ht="19" hidden="0" customHeight="1">
      <x:c r="A102" s="10" t="d">
        <x:v>2027-01-10T00:00:00.000Z</x:v>
      </x:c>
      <x:c r="B102" s="9" t="str">
        <x:v>вс</x:v>
      </x:c>
      <x:c r="C102" s="9" t="n">
        <x:v>19</x:v>
      </x:c>
      <x:c r="D102" s="9" t="str">
        <x:v>пауза</x:v>
      </x:c>
      <x:c r="E102" s="9" t="str">
        <x:v>Учебная пауза и восстановление</x:v>
      </x:c>
      <x:c r="F102" s="9" t="str">
        <x:v>Новых учебных задач нет.</x:v>
      </x:c>
      <x:c r="G102" s="9" t="str">
        <x:v>Практика не назначена</x:v>
      </x:c>
      <x:c r="H102" s="9" t="str">
        <x:v>Не требуется</x:v>
      </x:c>
      <x:c r="I102" s="9" t="str">
        <x:v>Чтение не назначено</x:v>
      </x:c>
      <x:c r="J102" s="9" t="str">
        <x:v>Учебная пауза; допуск и практику сегодня не проверять.</x:v>
      </x:c>
      <x:c r="K102" s="9" t="str">
        <x:v>Учебного зачёта сегодня нет.</x:v>
      </x:c>
      <x:c r="L102" s="9" t="str">
        <x:v>Учебного артефакта нет</x:v>
      </x:c>
      <x:c r="M102" s="12"/>
      <x:c r="N102" s="12"/>
      <x:c r="O102" s="12"/>
      <x:c r="P102" s="14"/>
      <x:c r="Q102" s="9" t="str">
        <x:v>пауза</x:v>
      </x:c>
      <x:c r="R102" s="10"/>
      <x:c r="S102" s="10"/>
      <x:c r="T102" s="10"/>
    </x:row>
    <x:row r="103" ht="88" hidden="0" customHeight="1">
      <x:c r="A103" s="10" t="d">
        <x:v>2027-01-11T00:00:00.000Z</x:v>
      </x:c>
      <x:c r="B103" s="9" t="str">
        <x:v>пн</x:v>
      </x:c>
      <x:c r="C103" s="9" t="n">
        <x:v>20</x:v>
      </x:c>
      <x:c r="D103" s="9" t="str">
        <x:v>изучение</x:v>
      </x:c>
      <x:c r="E103" s="9" t="str">
        <x:v>Домен лес OU и группы Active Directory</x:v>
      </x:c>
      <x:c r="F103" s="9" t="str">
        <x:v>Разобрать: Domain и forest; объекты каталога; OU; группа как участник правил доступа.</x:v>
      </x:c>
      <x:c r="G103" s="9" t="str">
        <x:v>Нарисуй domain с пользователем, группой, компьютером и OU по своей lab или учебному экспорту. Подпиши назначение объектов.</x:v>
      </x:c>
      <x:c r="H103" s="9" t="str">
        <x:v>AD-lab или готовый export</x:v>
      </x:c>
      <x:c r="I103" s="9" t="str">
        <x:v>RU14 Microsoft Learn Доменные службы Active Directory — Объекты каталога; схема; поиск
https://learn.microsoft.com/ru-ru/windows-server/identity/ad-ds/get-started/virtual-dc/active-directory-domain-services-overview
RU15 Microsoft Learn Kerberos — Проверка подлинности Kerberos
https://learn.microsoft.com/ru-ru/windows-server/security/kerberos/kerberos-authentication-overview</x:v>
      </x:c>
      <x:c r="J103" s="9" t="str">
        <x:v>Подтверждён предыдущий механизм; действуют условия темы и разрешённой лаборатории.</x:v>
      </x:c>
      <x:c r="K103" s="9" t="str">
        <x:v>Чем OU отличается от security group?</x:v>
      </x:c>
      <x:c r="L103" s="9" t="str">
        <x:v>2027-01-11_note.md: вход, ожидание, факт, вывод, контроль</x:v>
      </x:c>
      <x:c r="M103" s="12"/>
      <x:c r="N103" s="12"/>
      <x:c r="O103" s="12"/>
      <x:c r="P103" s="14"/>
      <x:c r="Q103" s="9" t="str">
        <x:v>RU14 RU15</x:v>
      </x:c>
      <x:c r="R103" s="10" t="d">
        <x:v>2027-01-12T00:00:00.000Z</x:v>
      </x:c>
      <x:c r="S103" s="10" t="d">
        <x:v>2027-01-18T00:00:00.000Z</x:v>
      </x:c>
      <x:c r="T103" s="10" t="d">
        <x:v>2027-02-08T00:00:00.000Z</x:v>
      </x:c>
    </x:row>
    <x:row r="104" ht="88" hidden="0" customHeight="1">
      <x:c r="A104" s="10" t="d">
        <x:v>2027-01-12T00:00:00.000Z</x:v>
      </x:c>
      <x:c r="B104" s="9" t="str">
        <x:v>вт</x:v>
      </x:c>
      <x:c r="C104" s="9" t="n">
        <x:v>20</x:v>
      </x:c>
      <x:c r="D104" s="9" t="str">
        <x:v>изучение</x:v>
      </x:c>
      <x:c r="E104" s="9" t="str">
        <x:v>Роли DNS LDAP и Kerberos в домене</x:v>
      </x:c>
      <x:c r="F104" s="9" t="str">
        <x:v>Разобрать: Поиск служб через DNS; чтение каталога LDAP; аутентификация Kerberos; отдельные признаки успеха.</x:v>
      </x:c>
      <x:c r="G104" s="9" t="str">
        <x:v>На схеме AD раздели три потока и их входные данные. По экспорту сопоставь один объект с его DNS/LDAP-представлением.</x:v>
      </x:c>
      <x:c r="H104" s="9" t="str">
        <x:v>AD-lab или готовый export</x:v>
      </x:c>
      <x:c r="I104" s="9" t="str">
        <x:v>RU15 Microsoft Learn Kerberos — Билеты и проверка подлинности
https://learn.microsoft.com/ru-ru/windows-server/security/kerberos/kerberos-authentication-overview
RU14 Microsoft Learn Доменные службы Active Directory — Субъекты и объекты каталога
https://learn.microsoft.com/ru-ru/windows-server/identity/ad-ds/get-started/virtual-dc/active-directory-domain-services-overview</x:v>
      </x:c>
      <x:c r="J104" s="9" t="str">
        <x:v>Подтверждён предыдущий механизм; действуют условия темы и разрешённой лаборатории.</x:v>
      </x:c>
      <x:c r="K104" s="9" t="str">
        <x:v>Почему рабочий DNS не доказывает успешную аутентификацию?</x:v>
      </x:c>
      <x:c r="L104" s="9" t="str">
        <x:v>2027-01-12_note.md: вход, ожидание, факт, вывод, контроль</x:v>
      </x:c>
      <x:c r="M104" s="12"/>
      <x:c r="N104" s="12"/>
      <x:c r="O104" s="12"/>
      <x:c r="P104" s="14"/>
      <x:c r="Q104" s="9" t="str">
        <x:v>RU15 RU14</x:v>
      </x:c>
      <x:c r="R104" s="10" t="d">
        <x:v>2027-01-13T00:00:00.000Z</x:v>
      </x:c>
      <x:c r="S104" s="10" t="d">
        <x:v>2027-01-19T00:00:00.000Z</x:v>
      </x:c>
      <x:c r="T104" s="10" t="d">
        <x:v>2027-02-09T00:00:00.000Z</x:v>
      </x:c>
    </x:row>
    <x:row r="105" ht="88" hidden="0" customHeight="1">
      <x:c r="A105" s="10" t="d">
        <x:v>2027-01-13T00:00:00.000Z</x:v>
      </x:c>
      <x:c r="B105" s="9" t="str">
        <x:v>ср</x:v>
      </x:c>
      <x:c r="C105" s="9" t="n">
        <x:v>20</x:v>
      </x:c>
      <x:c r="D105" s="9" t="str">
        <x:v>изучение</x:v>
      </x:c>
      <x:c r="E105" s="9" t="str">
        <x:v>AS TGT и TGS в схеме Kerberos</x:v>
      </x:c>
      <x:c r="F105" s="9" t="str">
        <x:v>Разобрать: Запрос AS; TGT; получение сервисного билета; авторизация на ресурсе.</x:v>
      </x:c>
      <x:c r="G105" s="9" t="str">
        <x:v>Нарисуй AS и TGS-потоки с principal, ticket и service. Укажи, где требуется ресурсный ACL.</x:v>
      </x:c>
      <x:c r="H105" s="9" t="str">
        <x:v>AD-lab или готовый export</x:v>
      </x:c>
      <x:c r="I105" s="9" t="str">
        <x:v>RU15 Microsoft Learn Kerberos — Билеты и проверка подлинности
https://learn.microsoft.com/ru-ru/windows-server/security/kerberos/kerberos-authentication-overview
RU14 Microsoft Learn Доменные службы Active Directory — Субъекты и объекты каталога
https://learn.microsoft.com/ru-ru/windows-server/identity/ad-ds/get-started/virtual-dc/active-directory-domain-services-overview</x:v>
      </x:c>
      <x:c r="J105" s="9" t="str">
        <x:v>Подтверждён предыдущий механизм; действуют условия темы и разрешённой лаборатории.</x:v>
      </x:c>
      <x:c r="K105" s="9" t="str">
        <x:v>Почему сервисный билет не заменяет право на объект?</x:v>
      </x:c>
      <x:c r="L105" s="9" t="str">
        <x:v>2027-01-13_note.md: вход, ожидание, факт, вывод, контроль</x:v>
      </x:c>
      <x:c r="M105" s="12"/>
      <x:c r="N105" s="12"/>
      <x:c r="O105" s="12"/>
      <x:c r="P105" s="14"/>
      <x:c r="Q105" s="9" t="str">
        <x:v>RU15 RU14</x:v>
      </x:c>
      <x:c r="R105" s="10" t="d">
        <x:v>2027-01-14T00:00:00.000Z</x:v>
      </x:c>
      <x:c r="S105" s="10" t="d">
        <x:v>2027-01-20T00:00:00.000Z</x:v>
      </x:c>
      <x:c r="T105" s="10" t="d">
        <x:v>2027-02-10T00:00:00.000Z</x:v>
      </x:c>
    </x:row>
    <x:row r="106" ht="88" hidden="0" customHeight="1">
      <x:c r="A106" s="10" t="d">
        <x:v>2027-01-14T00:00:00.000Z</x:v>
      </x:c>
      <x:c r="B106" s="9" t="str">
        <x:v>чт</x:v>
      </x:c>
      <x:c r="C106" s="9" t="n">
        <x:v>20</x:v>
      </x:c>
      <x:c r="D106" s="9" t="str">
        <x:v>изучение</x:v>
      </x:c>
      <x:c r="E106" s="9" t="str">
        <x:v>SPN и учётная запись службы в AD</x:v>
      </x:c>
      <x:c r="F106" s="9" t="str">
        <x:v>Разобрать: Имя службы; привязка SPN; сервисная идентичность; условия выдачи билета.</x:v>
      </x:c>
      <x:c r="G106" s="9" t="str">
        <x:v>Из разрешённого AD-export выпиши один SPN, service account и host. Сопоставь с собственной схемой TGS.</x:v>
      </x:c>
      <x:c r="H106" s="9" t="str">
        <x:v>AD-lab или готовый export</x:v>
      </x:c>
      <x:c r="I106" s="9" t="str">
        <x:v>RU15 Microsoft Learn Kerberos — Билеты и проверка подлинности
https://learn.microsoft.com/ru-ru/windows-server/security/kerberos/kerberos-authentication-overview
RU14 Microsoft Learn Доменные службы Active Directory — Субъекты и объекты каталога
https://learn.microsoft.com/ru-ru/windows-server/identity/ad-ds/get-started/virtual-dc/active-directory-domain-services-overview</x:v>
      </x:c>
      <x:c r="J106" s="9" t="str">
        <x:v>Подтверждён предыдущий механизм; действуют условия темы и разрешённой лаборатории.</x:v>
      </x:c>
      <x:c r="K106" s="9" t="str">
        <x:v>Как различить имя службы и учётную запись, к которой оно привязано?</x:v>
      </x:c>
      <x:c r="L106" s="9" t="str">
        <x:v>2027-01-14_note.md: вход, ожидание, факт, вывод, контроль</x:v>
      </x:c>
      <x:c r="M106" s="12"/>
      <x:c r="N106" s="12"/>
      <x:c r="O106" s="12"/>
      <x:c r="P106" s="14"/>
      <x:c r="Q106" s="9" t="str">
        <x:v>RU15 RU14</x:v>
      </x:c>
      <x:c r="R106" s="10" t="d">
        <x:v>2027-01-15T00:00:00.000Z</x:v>
      </x:c>
      <x:c r="S106" s="10" t="d">
        <x:v>2027-01-21T00:00:00.000Z</x:v>
      </x:c>
      <x:c r="T106" s="10" t="d">
        <x:v>2027-02-11T00:00:00.000Z</x:v>
      </x:c>
    </x:row>
    <x:row r="107" ht="52" hidden="0" customHeight="1">
      <x:c r="A107" s="10" t="d">
        <x:v>2027-01-15T00:00:00.000Z</x:v>
      </x:c>
      <x:c r="B107" s="9" t="str">
        <x:v>пт</x:v>
      </x:c>
      <x:c r="C107" s="9" t="n">
        <x:v>20</x:v>
      </x:c>
      <x:c r="D107" s="9" t="str">
        <x:v>изучение</x:v>
      </x:c>
      <x:c r="E107" s="9" t="str">
        <x:v>GPO и фактическая область применения политики</x:v>
      </x:c>
      <x:c r="F107" s="9" t="str">
        <x:v>Разобрать: Объект политики; привязка и scope; правила обработки; проверка применения.</x:v>
      </x:c>
      <x:c r="G107" s="9" t="str">
        <x:v>По учебному экспорту запиши GPO, link, scope и ожидаемую цель. Отметь, чего не хватает для вывода о применении.</x:v>
      </x:c>
      <x:c r="H107" s="9" t="str">
        <x:v>AD-lab или готовый export</x:v>
      </x:c>
      <x:c r="I107" s="9" t="str">
        <x:v>RU16 Microsoft Learn Групповая политика — Объекты GPO и область применения
https://learn.microsoft.com/ru-ru/windows-server/identity/ad-ds/manage/group-policy/group-policy-overview</x:v>
      </x:c>
      <x:c r="J107" s="9" t="str">
        <x:v>Подтверждён предыдущий механизм; действуют условия темы и разрешённой лаборатории.</x:v>
      </x:c>
      <x:c r="K107" s="9" t="str">
        <x:v>Как подтвердить применение политики к конкретной машине?</x:v>
      </x:c>
      <x:c r="L107" s="9" t="str">
        <x:v>2027-01-15_note.md: вход, ожидание, факт, вывод, контроль</x:v>
      </x:c>
      <x:c r="M107" s="12"/>
      <x:c r="N107" s="12"/>
      <x:c r="O107" s="12"/>
      <x:c r="P107" s="14"/>
      <x:c r="Q107" s="9" t="str">
        <x:v>RU16</x:v>
      </x:c>
      <x:c r="R107" s="10" t="d">
        <x:v>2027-01-16T00:00:00.000Z</x:v>
      </x:c>
      <x:c r="S107" s="10" t="d">
        <x:v>2027-01-22T00:00:00.000Z</x:v>
      </x:c>
      <x:c r="T107" s="10" t="d">
        <x:v>2027-02-12T00:00:00.000Z</x:v>
      </x:c>
    </x:row>
    <x:row r="108" ht="88" hidden="0" customHeight="1">
      <x:c r="A108" s="10" t="d">
        <x:v>2027-01-16T00:00:00.000Z</x:v>
      </x:c>
      <x:c r="B108" s="9" t="str">
        <x:v>сб</x:v>
      </x:c>
      <x:c r="C108" s="9" t="n">
        <x:v>20</x:v>
      </x:c>
      <x:c r="D108" s="9" t="str">
        <x:v>повторение</x:v>
      </x:c>
      <x:c r="E108" s="9" t="str">
        <x:v>Аутентификация домена и ACL ресурса</x:v>
      </x:c>
      <x:c r="F108" s="9" t="str">
        <x:v>Повторить: Установление личности; сервисный билет; ресурсное разрешение; итоговое решение о доступе.</x:v>
      </x:c>
      <x:c r="G108" s="9" t="str">
        <x:v>Составь одну схему входа и доступа к файлу в lab. Добавь разрешённый и запрещённый случай с объяснением.</x:v>
      </x:c>
      <x:c r="H108" s="9" t="str">
        <x:v>AD-lab или готовый export</x:v>
      </x:c>
      <x:c r="I108" s="9" t="str">
        <x:v>RU14 Microsoft Learn Доменные службы Active Directory — Объекты каталога; схема; поиск
https://learn.microsoft.com/ru-ru/windows-server/identity/ad-ds/get-started/virtual-dc/active-directory-domain-services-overview
RU15 Microsoft Learn Kerberos — Проверка подлинности Kerberos
https://learn.microsoft.com/ru-ru/windows-server/security/kerberos/kerberos-authentication-overview</x:v>
      </x:c>
      <x:c r="J108" s="9" t="str">
        <x:v>Подтверждён предыдущий механизм; действуют условия темы и разрешённой лаборатории.</x:v>
      </x:c>
      <x:c r="K108" s="9" t="str">
        <x:v>В какой точке успешная аутентификация закончится отказом доступа?</x:v>
      </x:c>
      <x:c r="L108" s="9" t="str">
        <x:v>2027-01-16_note.md: вход, ожидание, факт, вывод, контроль</x:v>
      </x:c>
      <x:c r="M108" s="12"/>
      <x:c r="N108" s="12"/>
      <x:c r="O108" s="12"/>
      <x:c r="P108" s="14"/>
      <x:c r="Q108" s="9" t="str">
        <x:v>RU14 RU15</x:v>
      </x:c>
      <x:c r="R108" s="10" t="d">
        <x:v>2027-01-18T00:00:00.000Z</x:v>
      </x:c>
      <x:c r="S108" s="10" t="d">
        <x:v>2027-01-23T00:00:00.000Z</x:v>
      </x:c>
      <x:c r="T108" s="10" t="d">
        <x:v>2027-02-13T00:00:00.000Z</x:v>
      </x:c>
    </x:row>
    <x:row r="109" ht="19" hidden="0" customHeight="1">
      <x:c r="A109" s="10" t="d">
        <x:v>2027-01-17T00:00:00.000Z</x:v>
      </x:c>
      <x:c r="B109" s="9" t="str">
        <x:v>вс</x:v>
      </x:c>
      <x:c r="C109" s="9" t="n">
        <x:v>20</x:v>
      </x:c>
      <x:c r="D109" s="9" t="str">
        <x:v>пауза</x:v>
      </x:c>
      <x:c r="E109" s="9" t="str">
        <x:v>Учебная пауза и восстановление</x:v>
      </x:c>
      <x:c r="F109" s="9" t="str">
        <x:v>Новых учебных задач нет.</x:v>
      </x:c>
      <x:c r="G109" s="9" t="str">
        <x:v>Практика не назначена</x:v>
      </x:c>
      <x:c r="H109" s="9" t="str">
        <x:v>Не требуется</x:v>
      </x:c>
      <x:c r="I109" s="9" t="str">
        <x:v>Чтение не назначено</x:v>
      </x:c>
      <x:c r="J109" s="9" t="str">
        <x:v>Учебная пауза; допуск и практику сегодня не проверять.</x:v>
      </x:c>
      <x:c r="K109" s="9" t="str">
        <x:v>Учебного зачёта сегодня нет.</x:v>
      </x:c>
      <x:c r="L109" s="9" t="str">
        <x:v>Учебного артефакта нет</x:v>
      </x:c>
      <x:c r="M109" s="12"/>
      <x:c r="N109" s="12"/>
      <x:c r="O109" s="12"/>
      <x:c r="P109" s="14"/>
      <x:c r="Q109" s="9" t="str">
        <x:v>пауза</x:v>
      </x:c>
      <x:c r="R109" s="10"/>
      <x:c r="S109" s="10"/>
      <x:c r="T109" s="10"/>
    </x:row>
    <x:row r="110" ht="136" hidden="0" customHeight="1">
      <x:c r="A110" s="10" t="d">
        <x:v>2027-01-18T00:00:00.000Z</x:v>
      </x:c>
      <x:c r="B110" s="9" t="str">
        <x:v>пн</x:v>
      </x:c>
      <x:c r="C110" s="9" t="n">
        <x:v>21</x:v>
      </x:c>
      <x:c r="D110" s="9" t="str">
        <x:v>изучение</x:v>
      </x:c>
      <x:c r="E110" s="9" t="str">
        <x:v>Forest — шаг 1 из 6</x:v>
      </x:c>
      <x:c r="F110" s="9" t="str">
        <x:v>Изучить и проверить: Граф отношений AD; Kerberos и полномочия объекта; подтверждение каждого ребра.</x:v>
      </x:c>
      <x:c r="G110" s="9" t="str">
        <x:v>Открой Forest при доступе. Подтверди роль хоста и доменные сервисы; зафиксируй разрешённый scope и исходную identity. При недоступности — локальная замена из карточки H10 в документе 12.
Локальная замена: На собственном экспорте AD или своей lab проверь один путь группы и ACL: исходная identity, требуемое право, успешный и запрещённый случаи.</x:v>
      </x:c>
      <x:c r="H110" s="9" t="str">
        <x:v>Nmap, LDAP-клиент, BloodHound, PowerShell</x:v>
      </x:c>
      <x:c r="I110" s="9" t="str">
        <x:v>RU14 Microsoft Learn Доменные службы Active Directory — Объекты и группы AD DS
https://learn.microsoft.com/ru-ru/windows-server/identity/ad-ds/get-started/virtual-dc/active-directory-domain-services-overview
RU15 Microsoft Learn Kerberos — Kerberos: AS и TGS
https://learn.microsoft.com/ru-ru/windows-server/security/kerberos/kerberos-authentication-overview
RU13 Microsoft Learn Управление доступом Windows — Разрешение доступа и ACL
https://learn.microsoft.com/ru-ru/windows/security/identity-protection/access-control/access-control</x:v>
      </x:c>
      <x:c r="J110" s="9" t="str">
        <x:v>Пройдены DNS/LDAP/Kerberos/GPO недели 20; перед началом объясни TGT/TGS и отличие группы от права над объектом.</x:v>
      </x:c>
      <x:c r="K110" s="9" t="str">
        <x:v>Что подтверждено собственным наблюдением, какой неверный контроль это ограничивает и смогу ли я повторить шаг без ИИ?</x:v>
      </x:c>
      <x:c r="L110" s="9" t="str">
        <x:v>2027-01-18_H10_note.md: вход, версия, наблюдение, контроль, подсказки и следующий шаг</x:v>
      </x:c>
      <x:c r="M110" s="12"/>
      <x:c r="N110" s="12"/>
      <x:c r="O110" s="12"/>
      <x:c r="P110" s="14"/>
      <x:c r="Q110" s="9" t="str">
        <x:v>H10 Forest; шаг 1/6
https://app.hackthebox.com/machines/212</x:v>
      </x:c>
      <x:c r="R110" s="10" t="d">
        <x:v>2027-01-19T00:00:00.000Z</x:v>
      </x:c>
      <x:c r="S110" s="10" t="d">
        <x:v>2027-01-25T00:00:00.000Z</x:v>
      </x:c>
      <x:c r="T110" s="10" t="d">
        <x:v>2027-02-15T00:00:00.000Z</x:v>
      </x:c>
    </x:row>
    <x:row r="111" ht="136" hidden="0" customHeight="1">
      <x:c r="A111" s="10" t="d">
        <x:v>2027-01-19T00:00:00.000Z</x:v>
      </x:c>
      <x:c r="B111" s="9" t="str">
        <x:v>вт</x:v>
      </x:c>
      <x:c r="C111" s="9" t="n">
        <x:v>21</x:v>
      </x:c>
      <x:c r="D111" s="9" t="str">
        <x:v>изучение</x:v>
      </x:c>
      <x:c r="E111" s="9" t="str">
        <x:v>Forest — шаг 2 из 6</x:v>
      </x:c>
      <x:c r="F111" s="9" t="str">
        <x:v>Изучить и проверить: Граф отношений AD; Kerberos и полномочия объекта; подтверждение каждого ребра.</x:v>
      </x:c>
      <x:c r="G111" s="9" t="str">
        <x:v>Построй разрешённую карту объектов и служб. Отметь, какие сведения получены наблюдением, а какие ещё требуют доступа. При недоступности — локальная замена из карточки H10 в документе 12.
Локальная замена: На собственном экспорте AD или своей lab проверь один путь группы и ACL: исходная identity, требуемое право, успешный и запрещённый случаи.</x:v>
      </x:c>
      <x:c r="H111" s="9" t="str">
        <x:v>Nmap, LDAP-клиент, BloodHound, PowerShell</x:v>
      </x:c>
      <x:c r="I111" s="9" t="str">
        <x:v>RU14 Microsoft Learn Доменные службы Active Directory — Объекты и группы AD DS
https://learn.microsoft.com/ru-ru/windows-server/identity/ad-ds/get-started/virtual-dc/active-directory-domain-services-overview
RU15 Microsoft Learn Kerberos — Kerberos: AS и TGS
https://learn.microsoft.com/ru-ru/windows-server/security/kerberos/kerberos-authentication-overview
RU13 Microsoft Learn Управление доступом Windows — Разрешение доступа и ACL
https://learn.microsoft.com/ru-ru/windows/security/identity-protection/access-control/access-control</x:v>
      </x:c>
      <x:c r="J111" s="9" t="str">
        <x:v>Пройдены DNS/LDAP/Kerberos/GPO недели 20; перед началом объясни TGT/TGS и отличие группы от права над объектом.</x:v>
      </x:c>
      <x:c r="K111" s="9" t="str">
        <x:v>Что подтверждено собственным наблюдением, какой неверный контроль это ограничивает и смогу ли я повторить шаг без ИИ?</x:v>
      </x:c>
      <x:c r="L111" s="9" t="str">
        <x:v>2027-01-19_H10_note.md: вход, версия, наблюдение, контроль, подсказки и следующий шаг</x:v>
      </x:c>
      <x:c r="M111" s="12"/>
      <x:c r="N111" s="12"/>
      <x:c r="O111" s="12"/>
      <x:c r="P111" s="14"/>
      <x:c r="Q111" s="9" t="str">
        <x:v>H10 Forest; шаг 2/6
https://app.hackthebox.com/machines/212</x:v>
      </x:c>
      <x:c r="R111" s="10" t="d">
        <x:v>2027-01-20T00:00:00.000Z</x:v>
      </x:c>
      <x:c r="S111" s="10" t="d">
        <x:v>2027-01-26T00:00:00.000Z</x:v>
      </x:c>
      <x:c r="T111" s="10" t="d">
        <x:v>2027-02-16T00:00:00.000Z</x:v>
      </x:c>
    </x:row>
    <x:row r="112" ht="136" hidden="0" customHeight="1">
      <x:c r="A112" s="10" t="d">
        <x:v>2027-01-20T00:00:00.000Z</x:v>
      </x:c>
      <x:c r="B112" s="9" t="str">
        <x:v>ср</x:v>
      </x:c>
      <x:c r="C112" s="9" t="n">
        <x:v>21</x:v>
      </x:c>
      <x:c r="D112" s="9" t="str">
        <x:v>изучение</x:v>
      </x:c>
      <x:c r="E112" s="9" t="str">
        <x:v>Forest — шаг 3 из 6</x:v>
      </x:c>
      <x:c r="F112" s="9" t="str">
        <x:v>Изучить и проверить: Граф отношений AD; Kerberos и полномочия объекта; подтверждение каждого ребра.</x:v>
      </x:c>
      <x:c r="G112" s="9" t="str">
        <x:v>Разбери фактический Kerberos-переход в выданной машине. Запиши его предусловия и ограниченный учебный результат, не выводя общую возможность по одному порту. При недоступности — локальная замена из карточки H10 в документе 12.
Локальная замена: На собственном экспорте AD или своей lab проверь один путь группы и ACL: исходная identity, требуемое право, успешный и запрещённый случаи.</x:v>
      </x:c>
      <x:c r="H112" s="9" t="str">
        <x:v>Nmap, LDAP-клиент, BloodHound, PowerShell</x:v>
      </x:c>
      <x:c r="I112" s="9" t="str">
        <x:v>RU14 Microsoft Learn Доменные службы Active Directory — Объекты и группы AD DS
https://learn.microsoft.com/ru-ru/windows-server/identity/ad-ds/get-started/virtual-dc/active-directory-domain-services-overview
RU15 Microsoft Learn Kerberos — Kerberos: AS и TGS
https://learn.microsoft.com/ru-ru/windows-server/security/kerberos/kerberos-authentication-overview
RU13 Microsoft Learn Управление доступом Windows — Разрешение доступа и ACL
https://learn.microsoft.com/ru-ru/windows/security/identity-protection/access-control/access-control</x:v>
      </x:c>
      <x:c r="J112" s="9" t="str">
        <x:v>Пройдены DNS/LDAP/Kerberos/GPO недели 20; перед началом объясни TGT/TGS и отличие группы от права над объектом.</x:v>
      </x:c>
      <x:c r="K112" s="9" t="str">
        <x:v>Что подтверждено собственным наблюдением, какой неверный контроль это ограничивает и смогу ли я повторить шаг без ИИ?</x:v>
      </x:c>
      <x:c r="L112" s="9" t="str">
        <x:v>2027-01-20_H10_note.md: вход, версия, наблюдение, контроль, подсказки и следующий шаг</x:v>
      </x:c>
      <x:c r="M112" s="12"/>
      <x:c r="N112" s="12"/>
      <x:c r="O112" s="12"/>
      <x:c r="P112" s="14"/>
      <x:c r="Q112" s="9" t="str">
        <x:v>H10 Forest; шаг 3/6
https://app.hackthebox.com/machines/212</x:v>
      </x:c>
      <x:c r="R112" s="10" t="d">
        <x:v>2027-01-21T00:00:00.000Z</x:v>
      </x:c>
      <x:c r="S112" s="10" t="d">
        <x:v>2027-01-27T00:00:00.000Z</x:v>
      </x:c>
      <x:c r="T112" s="10" t="d">
        <x:v>2027-02-17T00:00:00.000Z</x:v>
      </x:c>
    </x:row>
    <x:row r="113" ht="136" hidden="0" customHeight="1">
      <x:c r="A113" s="10" t="d">
        <x:v>2027-01-21T00:00:00.000Z</x:v>
      </x:c>
      <x:c r="B113" s="9" t="str">
        <x:v>чт</x:v>
      </x:c>
      <x:c r="C113" s="9" t="n">
        <x:v>21</x:v>
      </x:c>
      <x:c r="D113" s="9" t="str">
        <x:v>изучение</x:v>
      </x:c>
      <x:c r="E113" s="9" t="str">
        <x:v>Forest — шаг 4 из 6</x:v>
      </x:c>
      <x:c r="F113" s="9" t="str">
        <x:v>Изучить и проверить: Граф отношений AD; Kerberos и полномочия объекта; подтверждение каждого ребра.</x:v>
      </x:c>
      <x:c r="G113" s="9" t="str">
        <x:v>Для одного ребра графа установи конкретное право над объектом и контекст, в котором оно проверяется. Найди отрицательный контроль. При недоступности — локальная замена из карточки H10 в документе 12.
Локальная замена: На собственном экспорте AD или своей lab проверь один путь группы и ACL: исходная identity, требуемое право, успешный и запрещённый случаи.</x:v>
      </x:c>
      <x:c r="H113" s="9" t="str">
        <x:v>Nmap, LDAP-клиент, BloodHound, PowerShell</x:v>
      </x:c>
      <x:c r="I113" s="9" t="str">
        <x:v>RU14 Microsoft Learn Доменные службы Active Directory — Объекты и группы AD DS
https://learn.microsoft.com/ru-ru/windows-server/identity/ad-ds/get-started/virtual-dc/active-directory-domain-services-overview
RU15 Microsoft Learn Kerberos — Kerberos: AS и TGS
https://learn.microsoft.com/ru-ru/windows-server/security/kerberos/kerberos-authentication-overview
RU13 Microsoft Learn Управление доступом Windows — Разрешение доступа и ACL
https://learn.microsoft.com/ru-ru/windows/security/identity-protection/access-control/access-control</x:v>
      </x:c>
      <x:c r="J113" s="9" t="str">
        <x:v>Пройдены DNS/LDAP/Kerberos/GPO недели 20; перед началом объясни TGT/TGS и отличие группы от права над объектом.</x:v>
      </x:c>
      <x:c r="K113" s="9" t="str">
        <x:v>Что подтверждено собственным наблюдением, какой неверный контроль это ограничивает и смогу ли я повторить шаг без ИИ?</x:v>
      </x:c>
      <x:c r="L113" s="9" t="str">
        <x:v>2027-01-21_H10_note.md: вход, версия, наблюдение, контроль, подсказки и следующий шаг</x:v>
      </x:c>
      <x:c r="M113" s="12"/>
      <x:c r="N113" s="12"/>
      <x:c r="O113" s="12"/>
      <x:c r="P113" s="14"/>
      <x:c r="Q113" s="9" t="str">
        <x:v>H10 Forest; шаг 4/6
https://app.hackthebox.com/machines/212</x:v>
      </x:c>
      <x:c r="R113" s="10" t="d">
        <x:v>2027-01-22T00:00:00.000Z</x:v>
      </x:c>
      <x:c r="S113" s="10" t="d">
        <x:v>2027-01-28T00:00:00.000Z</x:v>
      </x:c>
      <x:c r="T113" s="10" t="d">
        <x:v>2027-02-18T00:00:00.000Z</x:v>
      </x:c>
    </x:row>
    <x:row r="114" ht="136" hidden="0" customHeight="1">
      <x:c r="A114" s="10" t="d">
        <x:v>2027-01-22T00:00:00.000Z</x:v>
      </x:c>
      <x:c r="B114" s="9" t="str">
        <x:v>пт</x:v>
      </x:c>
      <x:c r="C114" s="9" t="n">
        <x:v>21</x:v>
      </x:c>
      <x:c r="D114" s="9" t="str">
        <x:v>изучение</x:v>
      </x:c>
      <x:c r="E114" s="9" t="str">
        <x:v>Forest — шаг 5 из 6</x:v>
      </x:c>
      <x:c r="F114" s="9" t="str">
        <x:v>Изучить и проверить: Граф отношений AD; Kerberos и полномочия объекта; подтверждение каждого ребра.</x:v>
      </x:c>
      <x:c r="G114" s="9" t="str">
        <x:v>Продолжи один путь Forest до предусмотренного результата. Сопоставь каждый переход с наблюдаемым правом, отдельно отметь непроверенные связи. При недоступности — локальная замена из карточки H10 в документе 12.
Локальная замена: На собственном экспорте AD или своей lab проверь один путь группы и ACL: исходная identity, требуемое право, успешный и запрещённый случаи.</x:v>
      </x:c>
      <x:c r="H114" s="9" t="str">
        <x:v>Nmap, LDAP-клиент, BloodHound, PowerShell</x:v>
      </x:c>
      <x:c r="I114" s="9" t="str">
        <x:v>RU14 Microsoft Learn Доменные службы Active Directory — Объекты и группы AD DS
https://learn.microsoft.com/ru-ru/windows-server/identity/ad-ds/get-started/virtual-dc/active-directory-domain-services-overview
RU15 Microsoft Learn Kerberos — Kerberos: AS и TGS
https://learn.microsoft.com/ru-ru/windows-server/security/kerberos/kerberos-authentication-overview
RU13 Microsoft Learn Управление доступом Windows — Разрешение доступа и ACL
https://learn.microsoft.com/ru-ru/windows/security/identity-protection/access-control/access-control</x:v>
      </x:c>
      <x:c r="J114" s="9" t="str">
        <x:v>Пройдены DNS/LDAP/Kerberos/GPO недели 20; перед началом объясни TGT/TGS и отличие группы от права над объектом.</x:v>
      </x:c>
      <x:c r="K114" s="9" t="str">
        <x:v>Что подтверждено собственным наблюдением, какой неверный контроль это ограничивает и смогу ли я повторить шаг без ИИ?</x:v>
      </x:c>
      <x:c r="L114" s="9" t="str">
        <x:v>2027-01-22_H10_note.md: вход, версия, наблюдение, контроль, подсказки и следующий шаг</x:v>
      </x:c>
      <x:c r="M114" s="12"/>
      <x:c r="N114" s="12"/>
      <x:c r="O114" s="12"/>
      <x:c r="P114" s="14"/>
      <x:c r="Q114" s="9" t="str">
        <x:v>H10 Forest; шаг 5/6
https://app.hackthebox.com/machines/212</x:v>
      </x:c>
      <x:c r="R114" s="10" t="d">
        <x:v>2027-01-23T00:00:00.000Z</x:v>
      </x:c>
      <x:c r="S114" s="10" t="d">
        <x:v>2027-01-29T00:00:00.000Z</x:v>
      </x:c>
      <x:c r="T114" s="10" t="d">
        <x:v>2027-02-19T00:00:00.000Z</x:v>
      </x:c>
    </x:row>
    <x:row r="115" ht="136" hidden="0" customHeight="1">
      <x:c r="A115" s="10" t="d">
        <x:v>2027-01-23T00:00:00.000Z</x:v>
      </x:c>
      <x:c r="B115" s="9" t="str">
        <x:v>сб</x:v>
      </x:c>
      <x:c r="C115" s="9" t="n">
        <x:v>21</x:v>
      </x:c>
      <x:c r="D115" s="9" t="str">
        <x:v>повторение</x:v>
      </x:c>
      <x:c r="E115" s="9" t="str">
        <x:v>Forest — шаг 6 из 6</x:v>
      </x:c>
      <x:c r="F115" s="9" t="str">
        <x:v>Повторить и применить: Граф отношений AD; Kerberos и полномочия объекта; подтверждение каждого ребра.</x:v>
      </x:c>
      <x:c r="G115" s="9" t="str">
        <x:v>Пересобери объяснение пути без подсказки, оформи матрицу прав и cleanup. Незавершённое переносится вместо нового задания. При недоступности — локальная замена из карточки H10 в документе 12.
Локальная замена: На собственном экспорте AD или своей lab проверь один путь группы и ACL: исходная identity, требуемое право, успешный и запрещённый случаи.</x:v>
      </x:c>
      <x:c r="H115" s="9" t="str">
        <x:v>Nmap, LDAP-клиент, BloodHound, PowerShell</x:v>
      </x:c>
      <x:c r="I115" s="9" t="str">
        <x:v>RU14 Microsoft Learn Доменные службы Active Directory — Объекты и группы AD DS
https://learn.microsoft.com/ru-ru/windows-server/identity/ad-ds/get-started/virtual-dc/active-directory-domain-services-overview
RU15 Microsoft Learn Kerberos — Kerberos: AS и TGS
https://learn.microsoft.com/ru-ru/windows-server/security/kerberos/kerberos-authentication-overview
RU13 Microsoft Learn Управление доступом Windows — Разрешение доступа и ACL
https://learn.microsoft.com/ru-ru/windows/security/identity-protection/access-control/access-control</x:v>
      </x:c>
      <x:c r="J115" s="9" t="str">
        <x:v>Пройдены DNS/LDAP/Kerberos/GPO недели 20; перед началом объясни TGT/TGS и отличие группы от права над объектом.</x:v>
      </x:c>
      <x:c r="K115" s="9" t="str">
        <x:v>Что подтверждено собственным наблюдением, какой неверный контроль это ограничивает и смогу ли я повторить шаг без ИИ?</x:v>
      </x:c>
      <x:c r="L115" s="9" t="str">
        <x:v>2027-01-23_H10_note.md: вход, версия, наблюдение, контроль, подсказки и следующий шаг</x:v>
      </x:c>
      <x:c r="M115" s="12"/>
      <x:c r="N115" s="12"/>
      <x:c r="O115" s="12"/>
      <x:c r="P115" s="14"/>
      <x:c r="Q115" s="9" t="str">
        <x:v>H10 Forest; шаг 6/6
https://app.hackthebox.com/machines/212</x:v>
      </x:c>
      <x:c r="R115" s="10" t="d">
        <x:v>2027-01-24T00:00:00.000Z</x:v>
      </x:c>
      <x:c r="S115" s="10" t="d">
        <x:v>2027-01-30T00:00:00.000Z</x:v>
      </x:c>
      <x:c r="T115" s="10" t="d">
        <x:v>2027-02-20T00:00:00.000Z</x:v>
      </x:c>
    </x:row>
    <x:row r="116" ht="28" hidden="0" customHeight="1">
      <x:c r="A116" s="10" t="d">
        <x:v>2027-01-24T00:00:00.000Z</x:v>
      </x:c>
      <x:c r="B116" s="9" t="str">
        <x:v>вс</x:v>
      </x:c>
      <x:c r="C116" s="9" t="n">
        <x:v>21</x:v>
      </x:c>
      <x:c r="D116" s="9" t="str">
        <x:v>повторение</x:v>
      </x:c>
      <x:c r="E116" s="9" t="str">
        <x:v>Повторение Отчёт о пути AD и непроверенных отношениях</x:v>
      </x:c>
      <x:c r="F116" s="9" t="str">
        <x:v>Вспомнить Обнаруженные связи и объяснить один отрицательный контроль по готовой заметке.</x:v>
      </x:c>
      <x:c r="G116" s="9" t="str">
        <x:v>Сверить ответ с собственной записью. Новую лабораторию не открывать.</x:v>
      </x:c>
      <x:c r="H116" s="9" t="str">
        <x:v>AD-export, граф и ACL</x:v>
      </x:c>
      <x:c r="I116" s="9" t="str">
        <x:v>Своя готовая заметка по теме; нового чтения нет</x:v>
      </x:c>
      <x:c r="J116" s="9" t="str">
        <x:v>Подтверждён предыдущий механизм; действуют условия темы и разрешённой лаборатории.</x:v>
      </x:c>
      <x:c r="K116" s="9" t="str">
        <x:v>Какой факт недели лучше всего подтверждает освоенный механизм?</x:v>
      </x:c>
      <x:c r="L116" s="9" t="str">
        <x:v>Карточка памяти по готовой заметке</x:v>
      </x:c>
      <x:c r="M116" s="12"/>
      <x:c r="N116" s="12"/>
      <x:c r="O116" s="12"/>
      <x:c r="P116" s="14"/>
      <x:c r="Q116" s="9" t="str">
        <x:v>своя заметка</x:v>
      </x:c>
      <x:c r="R116" s="10" t="d">
        <x:v>2027-01-25T00:00:00.000Z</x:v>
      </x:c>
      <x:c r="S116" s="10" t="d">
        <x:v>2027-02-01T00:00:00.000Z</x:v>
      </x:c>
      <x:c r="T116" s="10" t="d">
        <x:v>2027-02-21T00:00:00.000Z</x:v>
      </x:c>
    </x:row>
    <x:row r="117" ht="88" hidden="0" customHeight="1">
      <x:c r="A117" s="10" t="d">
        <x:v>2027-01-25T00:00:00.000Z</x:v>
      </x:c>
      <x:c r="B117" s="9" t="str">
        <x:v>пн</x:v>
      </x:c>
      <x:c r="C117" s="9" t="n">
        <x:v>22</x:v>
      </x:c>
      <x:c r="D117" s="9" t="str">
        <x:v>изучение</x:v>
      </x:c>
      <x:c r="E117" s="9" t="str">
        <x:v>Сервисная идентичность SPN и условия Kerberos-lab</x:v>
      </x:c>
      <x:c r="F117" s="9" t="str">
        <x:v>Разобрать: Учётная запись службы; SPN; свойства билета; доступ к выдаче и парольные условия lab.</x:v>
      </x:c>
      <x:c r="G117" s="9" t="str">
        <x:v>По разрешённому экспорту свяжи SPN, account и службу. Выпиши предусловия учебной гипотезы без настоящих секретов.</x:v>
      </x:c>
      <x:c r="H117" s="9" t="str">
        <x:v>Изолированный AD-lab/export</x:v>
      </x:c>
      <x:c r="I117" s="9" t="str">
        <x:v>RU15 Microsoft Learn Kerberos — Билеты и проверка подлинности
https://learn.microsoft.com/ru-ru/windows-server/security/kerberos/kerberos-authentication-overview
RU14 Microsoft Learn Доменные службы Active Directory — Субъекты и объекты каталога
https://learn.microsoft.com/ru-ru/windows-server/identity/ad-ds/get-started/virtual-dc/active-directory-domain-services-overview</x:v>
      </x:c>
      <x:c r="J117" s="9" t="str">
        <x:v>Подтверждён предыдущий механизм; действуют условия темы и разрешённой лаборатории.</x:v>
      </x:c>
      <x:c r="K117" s="9" t="str">
        <x:v>Почему наличие SPN не доказывает слабость пароля?</x:v>
      </x:c>
      <x:c r="L117" s="9" t="str">
        <x:v>2027-01-25_note.md: вход, ожидание, факт, вывод, контроль</x:v>
      </x:c>
      <x:c r="M117" s="12"/>
      <x:c r="N117" s="12"/>
      <x:c r="O117" s="12"/>
      <x:c r="P117" s="14"/>
      <x:c r="Q117" s="9" t="str">
        <x:v>RU15 RU14
Вместо блока, один вариант: RA03, CA08, CA09, CA10, CA11, CA12; карточки в документе 12.</x:v>
      </x:c>
      <x:c r="R117" s="10" t="d">
        <x:v>2027-01-26T00:00:00.000Z</x:v>
      </x:c>
      <x:c r="S117" s="10" t="d">
        <x:v>2027-02-01T00:00:00.000Z</x:v>
      </x:c>
      <x:c r="T117" s="10" t="d">
        <x:v>2027-02-22T00:00:00.000Z</x:v>
      </x:c>
    </x:row>
    <x:row r="118" ht="100" hidden="0" customHeight="1">
      <x:c r="A118" s="10" t="d">
        <x:v>2027-01-26T00:00:00.000Z</x:v>
      </x:c>
      <x:c r="B118" s="9" t="str">
        <x:v>вт</x:v>
      </x:c>
      <x:c r="C118" s="9" t="n">
        <x:v>22</x:v>
      </x:c>
      <x:c r="D118" s="9" t="str">
        <x:v>изучение</x:v>
      </x:c>
      <x:c r="E118" s="9" t="str">
        <x:v>Сервисный билет и его предусловия в учебном стенде</x:v>
      </x:c>
      <x:c r="F118" s="9" t="str">
        <x:v>Разобрать: Источник билета; протокольный обмен; относящаяся к нему запись; условия дальнейшего учебного анализа.</x:v>
      </x:c>
      <x:c r="G118" s="9" t="str">
        <x:v>В AD-lab или готовом export разберите один учебный билет по RU15. Запишите тип и применимые предпосылки.</x:v>
      </x:c>
      <x:c r="H118" s="9" t="str">
        <x:v>Изолированный AD-lab/export</x:v>
      </x:c>
      <x:c r="I118" s="9" t="str">
        <x:v>RU13 Microsoft Learn Управление доступом Windows — Права на объект и наследование
https://learn.microsoft.com/ru-ru/windows/security/identity-protection/access-control/access-control
RU14 Microsoft Learn Доменные службы Active Directory — Поиск и безопасность AD
https://learn.microsoft.com/ru-ru/windows-server/identity/ad-ds/get-started/virtual-dc/active-directory-domain-services-overview</x:v>
      </x:c>
      <x:c r="J118" s="9" t="str">
        <x:v>Подтверждён предыдущий механизм; действуют условия темы и разрешённой лаборатории.</x:v>
      </x:c>
      <x:c r="K118" s="9" t="str">
        <x:v>Что можно подтвердить по билету, а что требует отдельной проверки?</x:v>
      </x:c>
      <x:c r="L118" s="9" t="str">
        <x:v>2027-01-26_note.md: вход, ожидание, факт, вывод, контроль</x:v>
      </x:c>
      <x:c r="M118" s="12"/>
      <x:c r="N118" s="12"/>
      <x:c r="O118" s="12"/>
      <x:c r="P118" s="14"/>
      <x:c r="Q118" s="9" t="str">
        <x:v>RU13 RU14
Вместо блока, один вариант: RA03, CA08, CA09, CA10, CA11, CA12; карточки в документе 12.</x:v>
      </x:c>
      <x:c r="R118" s="10" t="d">
        <x:v>2027-01-27T00:00:00.000Z</x:v>
      </x:c>
      <x:c r="S118" s="10" t="d">
        <x:v>2027-02-02T00:00:00.000Z</x:v>
      </x:c>
      <x:c r="T118" s="10" t="d">
        <x:v>2027-02-23T00:00:00.000Z</x:v>
      </x:c>
    </x:row>
    <x:row r="119" ht="88" hidden="0" customHeight="1">
      <x:c r="A119" s="10" t="d">
        <x:v>2027-01-27T00:00:00.000Z</x:v>
      </x:c>
      <x:c r="B119" s="9" t="str">
        <x:v>ср</x:v>
      </x:c>
      <x:c r="C119" s="9" t="n">
        <x:v>22</x:v>
      </x:c>
      <x:c r="D119" s="9" t="str">
        <x:v>изучение</x:v>
      </x:c>
      <x:c r="E119" s="9" t="str">
        <x:v>Проверяемая гипотеза Kerberos в выданной lab</x:v>
      </x:c>
      <x:c r="F119" s="9" t="str">
        <x:v>Разобрать: Конфигурация тестовой записи; необходимые права; разрешённый результат; контроль гипотезы.</x:v>
      </x:c>
      <x:c r="G119" s="9" t="str">
        <x:v>Выполни один предусмотренный учебным AD-lab тест. Используй вымышленные данные; сохрани условия, наблюдение и ограниченный вывод.</x:v>
      </x:c>
      <x:c r="H119" s="9" t="str">
        <x:v>Изолированный AD-lab/export</x:v>
      </x:c>
      <x:c r="I119" s="9" t="str">
        <x:v>RU15 Microsoft Learn Kerberos — Билеты и проверка подлинности
https://learn.microsoft.com/ru-ru/windows-server/security/kerberos/kerberos-authentication-overview
RU14 Microsoft Learn Доменные службы Active Directory — Субъекты и объекты каталога
https://learn.microsoft.com/ru-ru/windows-server/identity/ad-ds/get-started/virtual-dc/active-directory-domain-services-overview</x:v>
      </x:c>
      <x:c r="J119" s="9" t="str">
        <x:v>Подтверждён предыдущий механизм; действуют условия темы и разрешённой лаборатории.</x:v>
      </x:c>
      <x:c r="K119" s="9" t="str">
        <x:v>Какая конфигурация сделала учебный сценарий применимым?</x:v>
      </x:c>
      <x:c r="L119" s="9" t="str">
        <x:v>2027-01-27_note.md: вход, ожидание, факт, вывод, контроль</x:v>
      </x:c>
      <x:c r="M119" s="12"/>
      <x:c r="N119" s="12"/>
      <x:c r="O119" s="12"/>
      <x:c r="P119" s="14"/>
      <x:c r="Q119" s="9" t="str">
        <x:v>RU15 RU14
Вместо блока, один вариант: RA03, CA08, CA09, CA10, CA11, CA12; карточки в документе 12.</x:v>
      </x:c>
      <x:c r="R119" s="10" t="d">
        <x:v>2027-01-28T00:00:00.000Z</x:v>
      </x:c>
      <x:c r="S119" s="10" t="d">
        <x:v>2027-02-03T00:00:00.000Z</x:v>
      </x:c>
      <x:c r="T119" s="10" t="d">
        <x:v>2027-02-24T00:00:00.000Z</x:v>
      </x:c>
    </x:row>
    <x:row r="120" ht="112" hidden="0" customHeight="1">
      <x:c r="A120" s="10" t="d">
        <x:v>2027-01-28T00:00:00.000Z</x:v>
      </x:c>
      <x:c r="B120" s="9" t="str">
        <x:v>чт</x:v>
      </x:c>
      <x:c r="C120" s="9" t="n">
        <x:v>22</x:v>
      </x:c>
      <x:c r="D120" s="9" t="str">
        <x:v>изучение</x:v>
      </x:c>
      <x:c r="E120" s="9" t="str">
        <x:v>Three — шаг 1 из 3</x:v>
      </x:c>
      <x:c r="F120" s="9" t="str">
        <x:v>Изучить и проверить: S3 bucket и object; ACL и policy; отличие федерации identity от доступа к данным.</x:v>
      </x:c>
      <x:c r="G120" s="9" t="str">
        <x:v>Сопоставь федерацию identity и право на объект хранилища. Открой Three и установи только выданный endpoint; составь карту сайта и зависимости от хранилища. При недоступности — локальная замена из карточки H11 в документе 12.
Локальная замена: На локальной JSON-модели bucket policy проверь три запроса list/read/write для двух тестовых identity. Сравни с ранее готовой схемой OIDC; облачные ресурсы создавать не нужно.</x:v>
      </x:c>
      <x:c r="H120" s="9" t="str">
        <x:v>DevTools, AWS CLI с выданным HTB endpoint, заметки</x:v>
      </x:c>
      <x:c r="I120" s="9" t="str">
        <x:v>RU59 Yandex Cloud: понятия Object Storage — Бакет, объект, ACL и Bucket Policy
https://yandex.cloud/ru/docs/storage/concepts/
RU19 Yandex Cloud Федерации сервисных аккаунтов — Условия доверия workload identity
https://yandex.cloud/ru/docs/iam/concepts/workload-identity
RU40 Yandex Cloud Аутентификация и федерация — Федерация человеческой identity: SAML
https://yandex.cloud/ru/docs/security/standard/authentication</x:v>
      </x:c>
      <x:c r="J120" s="9" t="str">
        <x:v>Crocodile, HTTP/DNS, облачная identity; до запуска прочитай RU59. Сохраняется различие SAML/OIDC, изученное по RU40/RU19.</x:v>
      </x:c>
      <x:c r="K120" s="9" t="str">
        <x:v>Что подтверждено собственным наблюдением, какой неверный контроль это ограничивает и смогу ли я повторить шаг без ИИ?</x:v>
      </x:c>
      <x:c r="L120" s="9" t="str">
        <x:v>2027-01-28_H11_note.md: вход, версия, наблюдение, контроль, подсказки и следующий шаг</x:v>
      </x:c>
      <x:c r="M120" s="12"/>
      <x:c r="N120" s="12"/>
      <x:c r="O120" s="12"/>
      <x:c r="P120" s="14"/>
      <x:c r="Q120" s="9" t="str">
        <x:v>H11 Three; шаг 1/3
https://app.hackthebox.com/machines/489</x:v>
      </x:c>
      <x:c r="R120" s="10" t="d">
        <x:v>2027-01-29T00:00:00.000Z</x:v>
      </x:c>
      <x:c r="S120" s="10" t="d">
        <x:v>2027-02-04T00:00:00.000Z</x:v>
      </x:c>
      <x:c r="T120" s="10" t="d">
        <x:v>2027-02-25T00:00:00.000Z</x:v>
      </x:c>
    </x:row>
    <x:row r="121" ht="112" hidden="0" customHeight="1">
      <x:c r="A121" s="10" t="d">
        <x:v>2027-01-29T00:00:00.000Z</x:v>
      </x:c>
      <x:c r="B121" s="9" t="str">
        <x:v>пт</x:v>
      </x:c>
      <x:c r="C121" s="9" t="n">
        <x:v>22</x:v>
      </x:c>
      <x:c r="D121" s="9" t="str">
        <x:v>изучение</x:v>
      </x:c>
      <x:c r="E121" s="9" t="str">
        <x:v>Three — шаг 2 из 3</x:v>
      </x:c>
      <x:c r="F121" s="9" t="str">
        <x:v>Изучить и проверить: S3 bucket и object; ACL и policy; отличие федерации identity от доступа к данным.</x:v>
      </x:c>
      <x:c r="G121" s="9" t="str">
        <x:v>На выданной машине сопоставь list/read/write с фактическими правами. Проверь одну учебную гипотезу; доступ к одному объекту не обобщай на весь бакет. При недоступности — локальная замена из карточки H11 в документе 12.
Локальная замена: На локальной JSON-модели bucket policy проверь три запроса list/read/write для двух тестовых identity. Сравни с ранее готовой схемой OIDC; облачные ресурсы создавать не нужно.</x:v>
      </x:c>
      <x:c r="H121" s="9" t="str">
        <x:v>DevTools, AWS CLI с выданным HTB endpoint, заметки</x:v>
      </x:c>
      <x:c r="I121" s="9" t="str">
        <x:v>RU59 Yandex Cloud: понятия Object Storage — Бакет, объект, ACL и Bucket Policy
https://yandex.cloud/ru/docs/storage/concepts/
RU19 Yandex Cloud Федерации сервисных аккаунтов — Условия доверия workload identity
https://yandex.cloud/ru/docs/iam/concepts/workload-identity
RU40 Yandex Cloud Аутентификация и федерация — Федерация человеческой identity: SAML
https://yandex.cloud/ru/docs/security/standard/authentication</x:v>
      </x:c>
      <x:c r="J121" s="9" t="str">
        <x:v>Crocodile, HTTP/DNS, облачная identity; до запуска прочитай RU59. Сохраняется различие SAML/OIDC, изученное по RU40/RU19.</x:v>
      </x:c>
      <x:c r="K121" s="9" t="str">
        <x:v>Что подтверждено собственным наблюдением, какой неверный контроль это ограничивает и смогу ли я повторить шаг без ИИ?</x:v>
      </x:c>
      <x:c r="L121" s="9" t="str">
        <x:v>2027-01-29_H11_note.md: вход, версия, наблюдение, контроль, подсказки и следующий шаг</x:v>
      </x:c>
      <x:c r="M121" s="12"/>
      <x:c r="N121" s="12"/>
      <x:c r="O121" s="12"/>
      <x:c r="P121" s="14"/>
      <x:c r="Q121" s="9" t="str">
        <x:v>H11 Three; шаг 2/3
https://app.hackthebox.com/machines/489</x:v>
      </x:c>
      <x:c r="R121" s="10" t="d">
        <x:v>2027-01-30T00:00:00.000Z</x:v>
      </x:c>
      <x:c r="S121" s="10" t="d">
        <x:v>2027-02-05T00:00:00.000Z</x:v>
      </x:c>
      <x:c r="T121" s="10" t="d">
        <x:v>2027-02-26T00:00:00.000Z</x:v>
      </x:c>
    </x:row>
    <x:row r="122" ht="112" hidden="0" customHeight="1">
      <x:c r="A122" s="10" t="d">
        <x:v>2027-01-30T00:00:00.000Z</x:v>
      </x:c>
      <x:c r="B122" s="9" t="str">
        <x:v>сб</x:v>
      </x:c>
      <x:c r="C122" s="9" t="n">
        <x:v>22</x:v>
      </x:c>
      <x:c r="D122" s="9" t="str">
        <x:v>закрепление</x:v>
      </x:c>
      <x:c r="E122" s="9" t="str">
        <x:v>Three — шаг 3 из 3</x:v>
      </x:c>
      <x:c r="F122" s="9" t="str">
        <x:v>Изучить и проверить: S3 bucket и object; ACL и policy; отличие федерации identity от доступа к данным.</x:v>
      </x:c>
      <x:c r="G122" s="9" t="str">
        <x:v>Заверши Three по разрешённому сценарию и оформи схему website — storage — execution. Укажи одно ограничение политики и отличие от OIDC-доверия. При недоступности — локальная замена из карточки H11 в документе 12.
Локальная замена: На локальной JSON-модели bucket policy проверь три запроса list/read/write для двух тестовых identity. Сравни с ранее готовой схемой OIDC; облачные ресурсы создавать не нужно.</x:v>
      </x:c>
      <x:c r="H122" s="9" t="str">
        <x:v>DevTools, AWS CLI с выданным HTB endpoint, заметки</x:v>
      </x:c>
      <x:c r="I122" s="9" t="str">
        <x:v>RU59 Yandex Cloud: понятия Object Storage — Бакет, объект, ACL и Bucket Policy
https://yandex.cloud/ru/docs/storage/concepts/
RU19 Yandex Cloud Федерации сервисных аккаунтов — Условия доверия workload identity
https://yandex.cloud/ru/docs/iam/concepts/workload-identity
RU40 Yandex Cloud Аутентификация и федерация — Федерация человеческой identity: SAML
https://yandex.cloud/ru/docs/security/standard/authentication</x:v>
      </x:c>
      <x:c r="J122" s="9" t="str">
        <x:v>Crocodile, HTTP/DNS, облачная identity; до запуска прочитай RU59. Сохраняется различие SAML/OIDC, изученное по RU40/RU19.</x:v>
      </x:c>
      <x:c r="K122" s="9" t="str">
        <x:v>Что подтверждено собственным наблюдением, какой неверный контроль это ограничивает и смогу ли я повторить шаг без ИИ?</x:v>
      </x:c>
      <x:c r="L122" s="9" t="str">
        <x:v>2027-01-30_H11_note.md: вход, версия, наблюдение, контроль, подсказки и следующий шаг</x:v>
      </x:c>
      <x:c r="M122" s="12"/>
      <x:c r="N122" s="12"/>
      <x:c r="O122" s="12"/>
      <x:c r="P122" s="14"/>
      <x:c r="Q122" s="9" t="str">
        <x:v>H11 Three; шаг 3/3
https://app.hackthebox.com/machines/489</x:v>
      </x:c>
      <x:c r="R122" s="10" t="d">
        <x:v>2027-02-01T00:00:00.000Z</x:v>
      </x:c>
      <x:c r="S122" s="10" t="d">
        <x:v>2027-02-06T00:00:00.000Z</x:v>
      </x:c>
      <x:c r="T122" s="10" t="d">
        <x:v>2027-02-27T00:00:00.000Z</x:v>
      </x:c>
    </x:row>
    <x:row r="123" ht="19" hidden="0" customHeight="1">
      <x:c r="A123" s="10" t="d">
        <x:v>2027-01-31T00:00:00.000Z</x:v>
      </x:c>
      <x:c r="B123" s="9" t="str">
        <x:v>вс</x:v>
      </x:c>
      <x:c r="C123" s="9" t="n">
        <x:v>22</x:v>
      </x:c>
      <x:c r="D123" s="9" t="str">
        <x:v>пауза</x:v>
      </x:c>
      <x:c r="E123" s="9" t="str">
        <x:v>Учебная пауза и восстановление</x:v>
      </x:c>
      <x:c r="F123" s="9" t="str">
        <x:v>Новых учебных задач нет.</x:v>
      </x:c>
      <x:c r="G123" s="9" t="str">
        <x:v>Практика не назначена</x:v>
      </x:c>
      <x:c r="H123" s="9" t="str">
        <x:v>Не требуется</x:v>
      </x:c>
      <x:c r="I123" s="9" t="str">
        <x:v>Чтение не назначено</x:v>
      </x:c>
      <x:c r="J123" s="9" t="str">
        <x:v>Учебная пауза; допуск и практику сегодня не проверять.</x:v>
      </x:c>
      <x:c r="K123" s="9" t="str">
        <x:v>Учебного зачёта сегодня нет.</x:v>
      </x:c>
      <x:c r="L123" s="9" t="str">
        <x:v>Учебного артефакта нет</x:v>
      </x:c>
      <x:c r="M123" s="12"/>
      <x:c r="N123" s="12"/>
      <x:c r="O123" s="12"/>
      <x:c r="P123" s="14"/>
      <x:c r="Q123" s="9" t="str">
        <x:v>пауза</x:v>
      </x:c>
      <x:c r="R123" s="10"/>
      <x:c r="S123" s="10"/>
      <x:c r="T123" s="10"/>
    </x:row>
    <x:row r="124" ht="40" hidden="0" customHeight="1">
      <x:c r="A124" s="10" t="d">
        <x:v>2027-02-01T00:00:00.000Z</x:v>
      </x:c>
      <x:c r="B124" s="9" t="str">
        <x:v>пн</x:v>
      </x:c>
      <x:c r="C124" s="9" t="n">
        <x:v>23</x:v>
      </x:c>
      <x:c r="D124" s="9" t="str">
        <x:v>изучение</x:v>
      </x:c>
      <x:c r="E124" s="9" t="str">
        <x:v>Маршрутизация и доступ между двумя своими VM</x:v>
      </x:c>
      <x:c r="F124" s="9" t="str">
        <x:v>Разобрать: Таблица маршрутов; next hop; listener; правила доступа к сервису.</x:v>
      </x:c>
      <x:c r="G124" s="9" t="str">
        <x:v>Нарисуй две собственные VM, адреса, маршруты и тестовый сервис. Предскажи прямую доступность до создания туннеля.</x:v>
      </x:c>
      <x:c r="H124" s="9" t="str">
        <x:v>Две свои VM, SSH, тестовый сервис</x:v>
      </x:c>
      <x:c r="I124" s="9" t="str">
        <x:v>RU43 Timeweb Cloud SSH туннели — Локальная удалённая и динамическая переадресация
https://timeweb.cloud/tutorials/network-security/ssh-tunnels</x:v>
      </x:c>
      <x:c r="J124" s="9" t="str">
        <x:v>Подтверждён предыдущий механизм; действуют условия темы и разрешённой лаборатории.</x:v>
      </x:c>
      <x:c r="K124" s="9" t="str">
        <x:v>Какие условия должны выполняться кроме наличия маршрута?</x:v>
      </x:c>
      <x:c r="L124" s="9" t="str">
        <x:v>2027-02-01_note.md: вход, ожидание, факт, вывод, контроль</x:v>
      </x:c>
      <x:c r="M124" s="12"/>
      <x:c r="N124" s="12"/>
      <x:c r="O124" s="12"/>
      <x:c r="P124" s="14"/>
      <x:c r="Q124" s="9" t="str">
        <x:v>RU43</x:v>
      </x:c>
      <x:c r="R124" s="10" t="d">
        <x:v>2027-02-02T00:00:00.000Z</x:v>
      </x:c>
      <x:c r="S124" s="10" t="d">
        <x:v>2027-02-08T00:00:00.000Z</x:v>
      </x:c>
      <x:c r="T124" s="10" t="d">
        <x:v>2027-03-01T00:00:00.000Z</x:v>
      </x:c>
    </x:row>
    <x:row r="125" ht="40" hidden="0" customHeight="1">
      <x:c r="A125" s="10" t="d">
        <x:v>2027-02-02T00:00:00.000Z</x:v>
      </x:c>
      <x:c r="B125" s="9" t="str">
        <x:v>вт</x:v>
      </x:c>
      <x:c r="C125" s="9" t="n">
        <x:v>23</x:v>
      </x:c>
      <x:c r="D125" s="9" t="str">
        <x:v>изучение</x:v>
      </x:c>
      <x:c r="E125" s="9" t="str">
        <x:v>Направление туннеля и адрес прослушивания</x:v>
      </x:c>
      <x:c r="F125" s="9" t="str">
        <x:v>Разобрать: Стороны туннеля; bind-адрес; направление соединения; граница доступности.</x:v>
      </x:c>
      <x:c r="G125" s="9" t="str">
        <x:v>На двух своих VM подготовь один учебный tunnel по RU43. Запиши listener, target и допустимый bind.</x:v>
      </x:c>
      <x:c r="H125" s="9" t="str">
        <x:v>Две свои VM, SSH, тестовый сервис</x:v>
      </x:c>
      <x:c r="I125" s="9" t="str">
        <x:v>RU43 Timeweb Cloud SSH туннели — Локальная удалённая и динамическая переадресация
https://timeweb.cloud/tutorials/network-security/ssh-tunnels</x:v>
      </x:c>
      <x:c r="J125" s="9" t="str">
        <x:v>Подтверждён предыдущий механизм; действуют условия темы и разрешённой лаборатории.</x:v>
      </x:c>
      <x:c r="K125" s="9" t="str">
        <x:v>С какой машины и к какому адресу обращается клиент?</x:v>
      </x:c>
      <x:c r="L125" s="9" t="str">
        <x:v>2027-02-02_note.md: вход, ожидание, факт, вывод, контроль</x:v>
      </x:c>
      <x:c r="M125" s="12"/>
      <x:c r="N125" s="12"/>
      <x:c r="O125" s="12"/>
      <x:c r="P125" s="14"/>
      <x:c r="Q125" s="9" t="str">
        <x:v>RU43</x:v>
      </x:c>
      <x:c r="R125" s="10" t="d">
        <x:v>2027-02-03T00:00:00.000Z</x:v>
      </x:c>
      <x:c r="S125" s="10" t="d">
        <x:v>2027-02-09T00:00:00.000Z</x:v>
      </x:c>
      <x:c r="T125" s="10" t="d">
        <x:v>2027-03-02T00:00:00.000Z</x:v>
      </x:c>
    </x:row>
    <x:row r="126" ht="40" hidden="0" customHeight="1">
      <x:c r="A126" s="10" t="d">
        <x:v>2027-02-03T00:00:00.000Z</x:v>
      </x:c>
      <x:c r="B126" s="9" t="str">
        <x:v>ср</x:v>
      </x:c>
      <x:c r="C126" s="9" t="n">
        <x:v>23</x:v>
      </x:c>
      <x:c r="D126" s="9" t="str">
        <x:v>изучение</x:v>
      </x:c>
      <x:c r="E126" s="9" t="str">
        <x:v>Поток к одному тестовому порту через туннель</x:v>
      </x:c>
      <x:c r="F126" s="9" t="str">
        <x:v>Разобрать: Исходный endpoint; локальный listener; конечный endpoint; контроль без туннеля.</x:v>
      </x:c>
      <x:c r="G126" s="9" t="str">
        <x:v>Через туннель прочитай marker своего тестового сервиса. Затем закрой tunnel и повтори. Сохрани обе проверки.</x:v>
      </x:c>
      <x:c r="H126" s="9" t="str">
        <x:v>Две свои VM, SSH, тестовый сервис</x:v>
      </x:c>
      <x:c r="I126" s="9" t="str">
        <x:v>RU43 Timeweb Cloud SSH туннели — Локальная удалённая и динамическая переадресация
https://timeweb.cloud/tutorials/network-security/ssh-tunnels</x:v>
      </x:c>
      <x:c r="J126" s="9" t="str">
        <x:v>Подтверждён предыдущий механизм; действуют условия темы и разрешённой лаборатории.</x:v>
      </x:c>
      <x:c r="K126" s="9" t="str">
        <x:v>Какой результат показывает зависимость доступа от туннеля?</x:v>
      </x:c>
      <x:c r="L126" s="9" t="str">
        <x:v>2027-02-03_note.md: вход, ожидание, факт, вывод, контроль</x:v>
      </x:c>
      <x:c r="M126" s="12"/>
      <x:c r="N126" s="12"/>
      <x:c r="O126" s="12"/>
      <x:c r="P126" s="14"/>
      <x:c r="Q126" s="9" t="str">
        <x:v>RU43</x:v>
      </x:c>
      <x:c r="R126" s="10" t="d">
        <x:v>2027-02-04T00:00:00.000Z</x:v>
      </x:c>
      <x:c r="S126" s="10" t="d">
        <x:v>2027-02-10T00:00:00.000Z</x:v>
      </x:c>
      <x:c r="T126" s="10" t="d">
        <x:v>2027-03-03T00:00:00.000Z</x:v>
      </x:c>
    </x:row>
    <x:row r="127" ht="52" hidden="0" customHeight="1">
      <x:c r="A127" s="10" t="d">
        <x:v>2027-02-04T00:00:00.000Z</x:v>
      </x:c>
      <x:c r="B127" s="9" t="str">
        <x:v>чт</x:v>
      </x:c>
      <x:c r="C127" s="9" t="n">
        <x:v>23</x:v>
      </x:c>
      <x:c r="D127" s="9" t="str">
        <x:v>изучение</x:v>
      </x:c>
      <x:c r="E127" s="9" t="str">
        <x:v>Разрешение DNS на стороне клиента и прокси</x:v>
      </x:c>
      <x:c r="F127" s="9" t="str">
        <x:v>Разобрать: Место DNS-запроса; полученный адрес; доступность назначения; наблюдаемые события.</x:v>
      </x:c>
      <x:c r="G127" s="9" t="str">
        <x:v>На схеме отметь место DNS-lookup для выбранного инструмента. Проверь одно собственное имя и сохрани фактическое поведение.</x:v>
      </x:c>
      <x:c r="H127" s="9" t="str">
        <x:v>Две свои VM, SSH, тестовый сервис</x:v>
      </x:c>
      <x:c r="I127" s="9" t="str">
        <x:v>RU43 Timeweb Cloud SSH туннели — Локальная удалённая и динамическая переадресация
https://timeweb.cloud/tutorials/network-security/ssh-tunnels</x:v>
      </x:c>
      <x:c r="J127" s="9" t="str">
        <x:v>Подтверждён предыдущий механизм; действуют условия темы и разрешённой лаборатории.</x:v>
      </x:c>
      <x:c r="K127" s="9" t="str">
        <x:v>Где именно разрешилось имя и чем это подтверждается?</x:v>
      </x:c>
      <x:c r="L127" s="9" t="str">
        <x:v>2027-02-04_note.md: вход, ожидание, факт, вывод, контроль</x:v>
      </x:c>
      <x:c r="M127" s="12"/>
      <x:c r="N127" s="12"/>
      <x:c r="O127" s="12"/>
      <x:c r="P127" s="14"/>
      <x:c r="Q127" s="9" t="str">
        <x:v>RU43
Вместо блока, один вариант: RA06; карточки в документе 12.</x:v>
      </x:c>
      <x:c r="R127" s="10" t="d">
        <x:v>2027-02-05T00:00:00.000Z</x:v>
      </x:c>
      <x:c r="S127" s="10" t="d">
        <x:v>2027-02-11T00:00:00.000Z</x:v>
      </x:c>
      <x:c r="T127" s="10" t="d">
        <x:v>2027-03-04T00:00:00.000Z</x:v>
      </x:c>
    </x:row>
    <x:row r="128" ht="52" hidden="0" customHeight="1">
      <x:c r="A128" s="10" t="d">
        <x:v>2027-02-05T00:00:00.000Z</x:v>
      </x:c>
      <x:c r="B128" s="9" t="str">
        <x:v>пт</x:v>
      </x:c>
      <x:c r="C128" s="9" t="n">
        <x:v>23</x:v>
      </x:c>
      <x:c r="D128" s="9" t="str">
        <x:v>изучение</x:v>
      </x:c>
      <x:c r="E128" s="9" t="str">
        <x:v>Границы SOCKS и перенаправления портов</x:v>
      </x:c>
      <x:c r="F128" s="9" t="str">
        <x:v>Разобрать: Поддерживаемый способ соединения; TCP-поток; совместимость клиента; неподдерживаемый протокол.</x:v>
      </x:c>
      <x:c r="G128" s="9" t="str">
        <x:v>Сопоставь свой tunnel с двумя типами трафика по документации. Проверь только разрешённый поддерживаемый поток.</x:v>
      </x:c>
      <x:c r="H128" s="9" t="str">
        <x:v>Две свои VM, SSH, тестовый сервис</x:v>
      </x:c>
      <x:c r="I128" s="9" t="str">
        <x:v>RU43 Timeweb Cloud SSH туннели — Локальная удалённая и динамическая переадресация
https://timeweb.cloud/tutorials/network-security/ssh-tunnels</x:v>
      </x:c>
      <x:c r="J128" s="9" t="str">
        <x:v>Подтверждён предыдущий механизм; действуют условия темы и разрешённой лаборатории.</x:v>
      </x:c>
      <x:c r="K128" s="9" t="str">
        <x:v>Какая неподдерживаемая операция ограничивает выбранный инструмент?</x:v>
      </x:c>
      <x:c r="L128" s="9" t="str">
        <x:v>2027-02-05_note.md: вход, ожидание, факт, вывод, контроль</x:v>
      </x:c>
      <x:c r="M128" s="12"/>
      <x:c r="N128" s="12"/>
      <x:c r="O128" s="12"/>
      <x:c r="P128" s="14"/>
      <x:c r="Q128" s="9" t="str">
        <x:v>RU43
Вместо блока, один вариант: RA06; карточки в документе 12.</x:v>
      </x:c>
      <x:c r="R128" s="10" t="d">
        <x:v>2027-02-06T00:00:00.000Z</x:v>
      </x:c>
      <x:c r="S128" s="10" t="d">
        <x:v>2027-02-12T00:00:00.000Z</x:v>
      </x:c>
      <x:c r="T128" s="10" t="d">
        <x:v>2027-03-05T00:00:00.000Z</x:v>
      </x:c>
    </x:row>
    <x:row r="129" ht="52" hidden="0" customHeight="1">
      <x:c r="A129" s="10" t="d">
        <x:v>2027-02-06T00:00:00.000Z</x:v>
      </x:c>
      <x:c r="B129" s="9" t="str">
        <x:v>сб</x:v>
      </x:c>
      <x:c r="C129" s="9" t="n">
        <x:v>23</x:v>
      </x:c>
      <x:c r="D129" s="9" t="str">
        <x:v>повторение</x:v>
      </x:c>
      <x:c r="E129" s="9" t="str">
        <x:v>Схема использованного туннеля и cleanup</x:v>
      </x:c>
      <x:c r="F129" s="9" t="str">
        <x:v>Повторить: Listener и процесс; временный маршрут; проверка закрытия; итоговая схема доступа.</x:v>
      </x:c>
      <x:c r="G129" s="9" t="str">
        <x:v>Закрой свои listeners и восстанови настройки VM. Проверь отсутствие временного порта и оформи итоговую схему.</x:v>
      </x:c>
      <x:c r="H129" s="9" t="str">
        <x:v>Две свои VM, SSH, тестовый сервис</x:v>
      </x:c>
      <x:c r="I129" s="9" t="str">
        <x:v>RU43 Timeweb Cloud SSH туннели — Локальная удалённая и динамическая переадресация
https://timeweb.cloud/tutorials/network-security/ssh-tunnels</x:v>
      </x:c>
      <x:c r="J129" s="9" t="str">
        <x:v>Подтверждён предыдущий механизм; действуют условия темы и разрешённой лаборатории.</x:v>
      </x:c>
      <x:c r="K129" s="9" t="str">
        <x:v>Как убедиться, что туннель действительно завершён?</x:v>
      </x:c>
      <x:c r="L129" s="9" t="str">
        <x:v>2027-02-06_note.md: вход, ожидание, факт, вывод, контроль</x:v>
      </x:c>
      <x:c r="M129" s="12"/>
      <x:c r="N129" s="12"/>
      <x:c r="O129" s="12"/>
      <x:c r="P129" s="14"/>
      <x:c r="Q129" s="9" t="str">
        <x:v>RU43
Вместо блока, один вариант: RA06; карточки в документе 12.</x:v>
      </x:c>
      <x:c r="R129" s="10" t="d">
        <x:v>2027-02-08T00:00:00.000Z</x:v>
      </x:c>
      <x:c r="S129" s="10" t="d">
        <x:v>2027-02-13T00:00:00.000Z</x:v>
      </x:c>
      <x:c r="T129" s="10" t="d">
        <x:v>2027-03-06T00:00:00.000Z</x:v>
      </x:c>
    </x:row>
    <x:row r="130" ht="19" hidden="0" customHeight="1">
      <x:c r="A130" s="10" t="d">
        <x:v>2027-02-07T00:00:00.000Z</x:v>
      </x:c>
      <x:c r="B130" s="9" t="str">
        <x:v>вс</x:v>
      </x:c>
      <x:c r="C130" s="9" t="n">
        <x:v>23</x:v>
      </x:c>
      <x:c r="D130" s="9" t="str">
        <x:v>пауза</x:v>
      </x:c>
      <x:c r="E130" s="9" t="str">
        <x:v>Учебная пауза и восстановление</x:v>
      </x:c>
      <x:c r="F130" s="9" t="str">
        <x:v>Новых учебных задач нет.</x:v>
      </x:c>
      <x:c r="G130" s="9" t="str">
        <x:v>Практика не назначена</x:v>
      </x:c>
      <x:c r="H130" s="9" t="str">
        <x:v>Не требуется</x:v>
      </x:c>
      <x:c r="I130" s="9" t="str">
        <x:v>Чтение не назначено</x:v>
      </x:c>
      <x:c r="J130" s="9" t="str">
        <x:v>Учебная пауза; допуск и практику сегодня не проверять.</x:v>
      </x:c>
      <x:c r="K130" s="9" t="str">
        <x:v>Учебного зачёта сегодня нет.</x:v>
      </x:c>
      <x:c r="L130" s="9" t="str">
        <x:v>Учебного артефакта нет</x:v>
      </x:c>
      <x:c r="M130" s="12"/>
      <x:c r="N130" s="12"/>
      <x:c r="O130" s="12"/>
      <x:c r="P130" s="14"/>
      <x:c r="Q130" s="9" t="str">
        <x:v>пауза</x:v>
      </x:c>
      <x:c r="R130" s="10"/>
      <x:c r="S130" s="10"/>
      <x:c r="T130" s="10"/>
    </x:row>
    <x:row r="131" ht="64" hidden="0" customHeight="1">
      <x:c r="A131" s="10" t="d">
        <x:v>2027-02-08T00:00:00.000Z</x:v>
      </x:c>
      <x:c r="B131" s="9" t="str">
        <x:v>пн</x:v>
      </x:c>
      <x:c r="C131" s="9" t="n">
        <x:v>24</x:v>
      </x:c>
      <x:c r="D131" s="9" t="str">
        <x:v>изучение</x:v>
      </x:c>
      <x:c r="E131" s="9" t="str">
        <x:v>Контейнер как часть цепочки поставки ПО</x:v>
      </x:c>
      <x:c r="F131" s="9" t="str">
        <x:v>Разобрать: Dockerfile; base image; build context; runtime user.</x:v>
      </x:c>
      <x:c r="G131" s="9" t="str">
        <x:v>Прочитай свой подготовленный Dockerfile. Отметь происхождение base image, копируемые файлы и пользователя запуска. Не собирай неизвестный чужой проект.</x:v>
      </x:c>
      <x:c r="H131" s="9" t="str">
        <x:v>Dockerfile, текстовый редактор</x:v>
      </x:c>
      <x:c r="I131" s="9" t="str">
        <x:v>RU23 Yandex Cloud Защита приложений — Безопасный пайплайн и зависимости
https://yandex.cloud/ru/docs/security/standard/app-security
RU24 Yandex Cloud Модель Docker образа — Слои теги и digest
https://yandex.cloud/ru/docs/container-registry/concepts/docker-image</x:v>
      </x:c>
      <x:c r="J131" s="9" t="str">
        <x:v>Git diff, hash файла, роль процесса и чтение простого JSON. Нет необходимости в платном cloud или запуске чужой сборки.</x:v>
      </x:c>
      <x:c r="K131" s="9" t="str">
        <x:v>Какие данные попадают в image ещё при сборке?</x:v>
      </x:c>
      <x:c r="L131" s="9" t="str">
        <x:v>Размеченный Dockerfile и карта входов сборки</x:v>
      </x:c>
      <x:c r="M131" s="12"/>
      <x:c r="N131" s="12"/>
      <x:c r="O131" s="12"/>
      <x:c r="P131" s="14"/>
      <x:c r="Q131" s="9" t="str">
        <x:v>RU23 RU24</x:v>
      </x:c>
      <x:c r="R131" s="10" t="d">
        <x:v>2027-02-09T00:00:00.000Z</x:v>
      </x:c>
      <x:c r="S131" s="10" t="d">
        <x:v>2027-02-15T00:00:00.000Z</x:v>
      </x:c>
      <x:c r="T131" s="10" t="d">
        <x:v>2027-03-08T00:00:00.000Z</x:v>
      </x:c>
    </x:row>
    <x:row r="132" ht="64" hidden="0" customHeight="1">
      <x:c r="A132" s="10" t="d">
        <x:v>2027-02-09T00:00:00.000Z</x:v>
      </x:c>
      <x:c r="B132" s="9" t="str">
        <x:v>вт</x:v>
      </x:c>
      <x:c r="C132" s="9" t="n">
        <x:v>24</x:v>
      </x:c>
      <x:c r="D132" s="9" t="str">
        <x:v>изучение</x:v>
      </x:c>
      <x:c r="E132" s="9" t="str">
        <x:v>Образ контейнера и секреты в слоях</x:v>
      </x:c>
      <x:c r="F132" s="9" t="str">
        <x:v>Разобрать: История слоёв; digest; удалённый файл; runtime secret.</x:v>
      </x:c>
      <x:c r="G132" s="9" t="str">
        <x:v>На собственной текстовой модели слоёв сравни добавление тестового marker и его удаление. Запиши, в каком слое marker остаётся и как передавать учебную конфигурацию отдельно от image.</x:v>
      </x:c>
      <x:c r="H132" s="9" t="str">
        <x:v>Локальные файлы, Docker при наличии</x:v>
      </x:c>
      <x:c r="I132" s="9" t="str">
        <x:v>RU23 Yandex Cloud Защита приложений — Безопасный пайплайн и зависимости
https://yandex.cloud/ru/docs/security/standard/app-security
RU24 Yandex Cloud Модель Docker образа — Слои теги и digest
https://yandex.cloud/ru/docs/container-registry/concepts/docker-image</x:v>
      </x:c>
      <x:c r="J132" s="9" t="str">
        <x:v>Подтверждён предыдущий механизм; действуют условия темы и разрешённой лаборатории.</x:v>
      </x:c>
      <x:c r="K132" s="9" t="str">
        <x:v>Почему удаление файла в следующем слое не стирает предыдущий слой?</x:v>
      </x:c>
      <x:c r="L132" s="9" t="str">
        <x:v>Схема слоёв и правило обращения с секретами</x:v>
      </x:c>
      <x:c r="M132" s="12"/>
      <x:c r="N132" s="12"/>
      <x:c r="O132" s="12"/>
      <x:c r="P132" s="14"/>
      <x:c r="Q132" s="9" t="str">
        <x:v>RU23 RU24</x:v>
      </x:c>
      <x:c r="R132" s="10" t="d">
        <x:v>2027-02-10T00:00:00.000Z</x:v>
      </x:c>
      <x:c r="S132" s="10" t="d">
        <x:v>2027-02-16T00:00:00.000Z</x:v>
      </x:c>
      <x:c r="T132" s="10" t="d">
        <x:v>2027-03-09T00:00:00.000Z</x:v>
      </x:c>
    </x:row>
    <x:row r="133" ht="64" hidden="0" customHeight="1">
      <x:c r="A133" s="10" t="d">
        <x:v>2027-02-10T00:00:00.000Z</x:v>
      </x:c>
      <x:c r="B133" s="9" t="str">
        <x:v>ср</x:v>
      </x:c>
      <x:c r="C133" s="9" t="n">
        <x:v>24</x:v>
      </x:c>
      <x:c r="D133" s="9" t="str">
        <x:v>изучение</x:v>
      </x:c>
      <x:c r="E133" s="9" t="str">
        <x:v>Зависимости и точная идентичность сборки</x:v>
      </x:c>
      <x:c r="F133" s="9" t="str">
        <x:v>Разобрать: Manifest; lockfile; версия; digest; SBOM.</x:v>
      </x:c>
      <x:c r="G133" s="9" t="str">
        <x:v>Сравни два учебных lockfile, отличающихся одной зависимостью. Составь короткий список компонентов и запиши hash своего артефакта. Отдели инвентаризацию от доказательства доверия.</x:v>
      </x:c>
      <x:c r="H133" s="9" t="str">
        <x:v>Git diff, Python hashlib</x:v>
      </x:c>
      <x:c r="I133" s="9" t="str">
        <x:v>RU23 Yandex Cloud Защита приложений — Безопасный пайплайн и зависимости
https://yandex.cloud/ru/docs/security/standard/app-security
RU24 Yandex Cloud Модель Docker образа — Слои теги и digest
https://yandex.cloud/ru/docs/container-registry/concepts/docker-image</x:v>
      </x:c>
      <x:c r="J133" s="9" t="str">
        <x:v>Подтверждён предыдущий механизм; действуют условия темы и разрешённой лаборатории.</x:v>
      </x:c>
      <x:c r="K133" s="9" t="str">
        <x:v>Почему одинаковое имя пакета не доказывает одинаковое содержимое?</x:v>
      </x:c>
      <x:c r="L133" s="9" t="str">
        <x:v>Diff зависимости и мини SBOM</x:v>
      </x:c>
      <x:c r="M133" s="12"/>
      <x:c r="N133" s="12"/>
      <x:c r="O133" s="12"/>
      <x:c r="P133" s="14"/>
      <x:c r="Q133" s="9" t="str">
        <x:v>RU23 RU24</x:v>
      </x:c>
      <x:c r="R133" s="10" t="d">
        <x:v>2027-02-11T00:00:00.000Z</x:v>
      </x:c>
      <x:c r="S133" s="10" t="d">
        <x:v>2027-02-17T00:00:00.000Z</x:v>
      </x:c>
      <x:c r="T133" s="10" t="d">
        <x:v>2027-03-10T00:00:00.000Z</x:v>
      </x:c>
    </x:row>
    <x:row r="134" ht="64" hidden="0" customHeight="1">
      <x:c r="A134" s="10" t="d">
        <x:v>2027-02-11T00:00:00.000Z</x:v>
      </x:c>
      <x:c r="B134" s="9" t="str">
        <x:v>чт</x:v>
      </x:c>
      <x:c r="C134" s="9" t="n">
        <x:v>24</x:v>
      </x:c>
      <x:c r="D134" s="9" t="str">
        <x:v>изучение</x:v>
      </x:c>
      <x:c r="E134" s="9" t="str">
        <x:v>CI workload identity и OIDC вместо постоянного секрета</x:v>
      </x:c>
      <x:c r="F134" s="9" t="str">
        <x:v>Разобрать: Workflow; issuer; audience; subject; привязка repository и environment.</x:v>
      </x:c>
      <x:c r="G134" s="9" t="str">
        <x:v>Разбери подготовленный пример claims workflow без запуска CI. Сравни допустимую identity и запись другого repository. Не копируй старый формат subject без сверки текущей документации.</x:v>
      </x:c>
      <x:c r="H134" s="9" t="str">
        <x:v>JSON, документация GitHub OIDC</x:v>
      </x:c>
      <x:c r="I134" s="9" t="str">
        <x:v>RU19 Yandex Cloud Федерации сервисных аккаунтов — Федерация сервисного аккаунта
https://yandex.cloud/ru/docs/iam/concepts/workload-identity
RU23 Yandex Cloud Защита приложений — Безопасный пайплайн
https://yandex.cloud/ru/docs/security/standard/app-security</x:v>
      </x:c>
      <x:c r="J134" s="9" t="str">
        <x:v>Подтверждён предыдущий механизм; действуют условия темы и разрешённой лаборатории.</x:v>
      </x:c>
      <x:c r="K134" s="9" t="str">
        <x:v>Что должно связать облачную роль с конкретным доверенным workflow?</x:v>
      </x:c>
      <x:c r="L134" s="9" t="str">
        <x:v>Схема доверия CI и два результата policy</x:v>
      </x:c>
      <x:c r="M134" s="12"/>
      <x:c r="N134" s="12"/>
      <x:c r="O134" s="12"/>
      <x:c r="P134" s="14"/>
      <x:c r="Q134" s="9" t="str">
        <x:v>RU19 RU23</x:v>
      </x:c>
      <x:c r="R134" s="10" t="d">
        <x:v>2027-02-12T00:00:00.000Z</x:v>
      </x:c>
      <x:c r="S134" s="10" t="d">
        <x:v>2027-02-18T00:00:00.000Z</x:v>
      </x:c>
      <x:c r="T134" s="10" t="d">
        <x:v>2027-03-11T00:00:00.000Z</x:v>
      </x:c>
    </x:row>
    <x:row r="135" ht="64" hidden="0" customHeight="1">
      <x:c r="A135" s="10" t="d">
        <x:v>2027-02-12T00:00:00.000Z</x:v>
      </x:c>
      <x:c r="B135" s="9" t="str">
        <x:v>пт</x:v>
      </x:c>
      <x:c r="C135" s="9" t="n">
        <x:v>24</x:v>
      </x:c>
      <x:c r="D135" s="9" t="str">
        <x:v>изучение</x:v>
      </x:c>
      <x:c r="E135" s="9" t="str">
        <x:v>Происхождение артефакта и проверка attestation</x:v>
      </x:c>
      <x:c r="F135" s="9" t="str">
        <x:v>Разобрать: Digest артефакта; signer identity; workflow; результат проверки подписи.</x:v>
      </x:c>
      <x:c r="G135" s="9" t="str">
        <x:v>Составь чеклист проверки готового артефакта: содержимое, подтверждённый подписант и разрешённый workflow. На fixture build_fixture.json сравни нормальную запись и подмену digest. Подпись fixture не считается проверенной автоматически.</x:v>
      </x:c>
      <x:c r="H135" s="9" t="str">
        <x:v>Локальная fixture, GitHub Docs</x:v>
      </x:c>
      <x:c r="I135" s="9" t="str">
        <x:v>RU23 Yandex Cloud Защита приложений — Безопасный пайплайн и зависимости
https://yandex.cloud/ru/docs/security/standard/app-security
RU24 Yandex Cloud Модель Docker образа — Слои теги и digest
https://yandex.cloud/ru/docs/container-registry/concepts/docker-image</x:v>
      </x:c>
      <x:c r="J135" s="9" t="str">
        <x:v>Подтверждён предыдущий механизм; действуют условия темы и разрешённой лаборатории.</x:v>
      </x:c>
      <x:c r="K135" s="9" t="str">
        <x:v>Почему hash без доверенного подписанта не подтверждает происхождение?</x:v>
      </x:c>
      <x:c r="L135" s="9" t="str">
        <x:v>Чеклист provenance с отмеченными неизвестными проверками</x:v>
      </x:c>
      <x:c r="M135" s="12"/>
      <x:c r="N135" s="12"/>
      <x:c r="O135" s="12"/>
      <x:c r="P135" s="14"/>
      <x:c r="Q135" s="9" t="str">
        <x:v>RU23 RU24</x:v>
      </x:c>
      <x:c r="R135" s="10" t="d">
        <x:v>2027-02-13T00:00:00.000Z</x:v>
      </x:c>
      <x:c r="S135" s="10" t="d">
        <x:v>2027-02-19T00:00:00.000Z</x:v>
      </x:c>
      <x:c r="T135" s="10" t="d">
        <x:v>2027-03-12T00:00:00.000Z</x:v>
      </x:c>
    </x:row>
    <x:row r="136" ht="64" hidden="0" customHeight="1">
      <x:c r="A136" s="10" t="d">
        <x:v>2027-02-13T00:00:00.000Z</x:v>
      </x:c>
      <x:c r="B136" s="9" t="str">
        <x:v>сб</x:v>
      </x:c>
      <x:c r="C136" s="9" t="n">
        <x:v>24</x:v>
      </x:c>
      <x:c r="D136" s="9" t="str">
        <x:v>закрепление</x:v>
      </x:c>
      <x:c r="E136" s="9" t="str">
        <x:v>Повторный аудит одной цепочки сборки</x:v>
      </x:c>
      <x:c r="F136" s="9" t="str">
        <x:v>Повторить: Уже разобранные входы; зависимость; workload identity; provenance.</x:v>
      </x:c>
      <x:c r="G136" s="9" t="str">
        <x:v>Сведи готовые записи недели в одну цепочку от исходника до артефакта. Повтори один проверенный отрицательный случай и укажи незакрытое звено вместо предположения об успехе.</x:v>
      </x:c>
      <x:c r="H136" s="9" t="str">
        <x:v>Собственные записи</x:v>
      </x:c>
      <x:c r="I136" s="9" t="str">
        <x:v>RU23 Yandex Cloud Защита приложений — Безопасный пайплайн и зависимости
https://yandex.cloud/ru/docs/security/standard/app-security
RU24 Yandex Cloud Модель Docker образа — Слои теги и digest
https://yandex.cloud/ru/docs/container-registry/concepts/docker-image</x:v>
      </x:c>
      <x:c r="J136" s="9" t="str">
        <x:v>Подтверждён предыдущий механизм; действуют условия темы и разрешённой лаборатории.</x:v>
      </x:c>
      <x:c r="K136" s="9" t="str">
        <x:v>Какое звено цепочки сборки осталось без собственного наблюдения?</x:v>
      </x:c>
      <x:c r="L136" s="9" t="str">
        <x:v>Карта одной сборки и повтор одного контроля</x:v>
      </x:c>
      <x:c r="M136" s="12"/>
      <x:c r="N136" s="12"/>
      <x:c r="O136" s="12"/>
      <x:c r="P136" s="14"/>
      <x:c r="Q136" s="9" t="str">
        <x:v>RU23 RU24</x:v>
      </x:c>
      <x:c r="R136" s="10" t="d">
        <x:v>2027-02-15T00:00:00.000Z</x:v>
      </x:c>
      <x:c r="S136" s="10" t="d">
        <x:v>2027-02-20T00:00:00.000Z</x:v>
      </x:c>
      <x:c r="T136" s="10" t="d">
        <x:v>2027-03-13T00:00:00.000Z</x:v>
      </x:c>
    </x:row>
    <x:row r="137" ht="19" hidden="0" customHeight="1">
      <x:c r="A137" s="10" t="d">
        <x:v>2027-02-14T00:00:00.000Z</x:v>
      </x:c>
      <x:c r="B137" s="9" t="str">
        <x:v>вс</x:v>
      </x:c>
      <x:c r="C137" s="9" t="n">
        <x:v>24</x:v>
      </x:c>
      <x:c r="D137" s="9" t="str">
        <x:v>пауза</x:v>
      </x:c>
      <x:c r="E137" s="9" t="str">
        <x:v>Учебная пауза и восстановление</x:v>
      </x:c>
      <x:c r="F137" s="9" t="str">
        <x:v>Новых учебных задач нет.</x:v>
      </x:c>
      <x:c r="G137" s="9" t="str">
        <x:v>Практика не назначена</x:v>
      </x:c>
      <x:c r="H137" s="9" t="str">
        <x:v>Не требуется</x:v>
      </x:c>
      <x:c r="I137" s="9" t="str">
        <x:v>Чтение не назначено</x:v>
      </x:c>
      <x:c r="J137" s="9" t="str">
        <x:v>Учебная пауза; допуск и практику сегодня не проверять.</x:v>
      </x:c>
      <x:c r="K137" s="9" t="str">
        <x:v>Учебного зачёта сегодня нет.</x:v>
      </x:c>
      <x:c r="L137" s="9" t="str">
        <x:v>Учебного артефакта нет</x:v>
      </x:c>
      <x:c r="M137" s="12"/>
      <x:c r="N137" s="12"/>
      <x:c r="O137" s="12"/>
      <x:c r="P137" s="14"/>
      <x:c r="Q137" s="9" t="str">
        <x:v>пауза</x:v>
      </x:c>
      <x:c r="R137" s="10"/>
      <x:c r="S137" s="10"/>
      <x:c r="T137" s="10"/>
    </x:row>
    <x:row r="138" ht="76" hidden="0" customHeight="1">
      <x:c r="A138" s="10" t="d">
        <x:v>2027-02-15T00:00:00.000Z</x:v>
      </x:c>
      <x:c r="B138" s="9" t="str">
        <x:v>пн</x:v>
      </x:c>
      <x:c r="C138" s="9" t="n">
        <x:v>25</x:v>
      </x:c>
      <x:c r="D138" s="9" t="str">
        <x:v>изучение</x:v>
      </x:c>
      <x:c r="E138" s="9" t="str">
        <x:v>Detector — сигнатура файла и формат</x:v>
      </x:c>
      <x:c r="F138" s="9" t="str">
        <x:v>Изучить и проверить: Сигнатура файла и формат; байты и порядок байтов; факт против расширения.</x:v>
      </x:c>
      <x:c r="G138" s="9" t="str">
        <x:v>Открой Detector и работай с копией архива. Определи тип каждого файла по сигнатуре, сверь с внутренней структурой и сохрани таблицу offset — bytes — вывод. Свяжи её с представлением объектов в памяти; расширение само по себе не доказательство. При недоступности — локальная замена из карточки FK01 в документе 12.
Локальная замена: Создай собственные текстовый, JSON и исполняемый файл своей сборки. Сравни первые bytes, расширение и распознавание file; переименуй копию и повтори контроль.</x:v>
      </x:c>
      <x:c r="H138" s="9" t="str">
        <x:v>file, hex viewer, sha256sum, Python</x:v>
      </x:c>
      <x:c r="I138" s="9" t="str">
        <x:v>RU57 Forensics Kids 2.0: лекции и задачи — Форматы файлов: Detector
https://for-kids20.forkbomb.ru/tasks
RU02 METANIT Язык Си — Представление данных и указатели
https://metanit.com/c/tutorial/</x:v>
      </x:c>
      <x:c r="J138" s="9" t="str">
        <x:v>Python bytes, hex; исходный файл сохраняется неизменным.</x:v>
      </x:c>
      <x:c r="K138" s="9" t="str">
        <x:v>Что подтверждено собственным наблюдением, какой неверный контроль это ограничивает и смогу ли я повторить шаг без ИИ?</x:v>
      </x:c>
      <x:c r="L138" s="9" t="str">
        <x:v>2027-02-15_FK01_note.md: вход, версия, наблюдение, контроль, подсказки и следующий шаг</x:v>
      </x:c>
      <x:c r="M138" s="12"/>
      <x:c r="N138" s="12"/>
      <x:c r="O138" s="12"/>
      <x:c r="P138" s="14"/>
      <x:c r="Q138" s="9" t="str">
        <x:v>FK01 Detector; шаг 1/1
https://for-kids20.forkbomb.ru/tasks/forfmt_detector
Вместо блока, один вариант: KA05; карточки в документе 12.</x:v>
      </x:c>
      <x:c r="R138" s="10" t="d">
        <x:v>2027-02-16T00:00:00.000Z</x:v>
      </x:c>
      <x:c r="S138" s="10" t="d">
        <x:v>2027-02-22T00:00:00.000Z</x:v>
      </x:c>
      <x:c r="T138" s="10" t="d">
        <x:v>2027-03-15T00:00:00.000Z</x:v>
      </x:c>
    </x:row>
    <x:row r="139" ht="76" hidden="0" customHeight="1">
      <x:c r="A139" s="10" t="d">
        <x:v>2027-02-16T00:00:00.000Z</x:v>
      </x:c>
      <x:c r="B139" s="9" t="str">
        <x:v>вт</x:v>
      </x:c>
      <x:c r="C139" s="9" t="n">
        <x:v>25</x:v>
      </x:c>
      <x:c r="D139" s="9" t="str">
        <x:v>изучение</x:v>
      </x:c>
      <x:c r="E139" s="9" t="str">
        <x:v>Размеры типов объектов и указателей в C</x:v>
      </x:c>
      <x:c r="F139" s="9" t="str">
        <x:v>Разобрать: sizeof; представление объекта; длина строки; размер указателя и ёмкость буфера.</x:v>
      </x:c>
      <x:c r="G139" s="9" t="str">
        <x:v>Измерь sizeof указателя, массива и структуры. Сравни с длиной входа. Сохрани числовую таблицу своей сборки.</x:v>
      </x:c>
      <x:c r="H139" s="9" t="str">
        <x:v>Linux-VM, свой C/ELF, GDB/Ghidra</x:v>
      </x:c>
      <x:c r="I139" s="9" t="str">
        <x:v>RU02 METANIT Язык Си — Массивы; указатели; строки; динамическая память
https://metanit.com/c/tutorial/
RU31 Microsoft Learn AddressSanitizer — Диагностика ошибок памяти
https://learn.microsoft.com/ru-ru/cpp/sanitizers/asan?view=msvc-170</x:v>
      </x:c>
      <x:c r="J139" s="9" t="str">
        <x:v>предыдущий механизм–предыдущий механизм и C и память: объяснить процесс, байты, указатель, размер буфера и время жизни; собрать свой исправный C-пример.</x:v>
      </x:c>
      <x:c r="K139" s="9" t="str">
        <x:v>Почему sizeof(pointer) не даёт ёмкость его буфера?</x:v>
      </x:c>
      <x:c r="L139" s="9" t="str">
        <x:v>2027-02-16_note.md: вход, ожидание, факт, вывод, контроль</x:v>
      </x:c>
      <x:c r="M139" s="12"/>
      <x:c r="N139" s="12"/>
      <x:c r="O139" s="12"/>
      <x:c r="P139" s="14"/>
      <x:c r="Q139" s="9" t="str">
        <x:v>RU02 RU31</x:v>
      </x:c>
      <x:c r="R139" s="10" t="d">
        <x:v>2027-02-17T00:00:00.000Z</x:v>
      </x:c>
      <x:c r="S139" s="10" t="d">
        <x:v>2027-02-23T00:00:00.000Z</x:v>
      </x:c>
      <x:c r="T139" s="10" t="d">
        <x:v>2027-03-16T00:00:00.000Z</x:v>
      </x:c>
    </x:row>
    <x:row r="140" ht="76" hidden="0" customHeight="1">
      <x:c r="A140" s="10" t="d">
        <x:v>2027-02-17T00:00:00.000Z</x:v>
      </x:c>
      <x:c r="B140" s="9" t="str">
        <x:v>ср</x:v>
      </x:c>
      <x:c r="C140" s="9" t="n">
        <x:v>25</x:v>
      </x:c>
      <x:c r="D140" s="9" t="str">
        <x:v>изучение</x:v>
      </x:c>
      <x:c r="E140" s="9" t="str">
        <x:v>Граница буфера и первопричина дефекта C</x:v>
      </x:c>
      <x:c r="F140" s="9" t="str">
        <x:v>Разобрать: Размер объекта; входная длина; операция вне границы; зависимость наблюдения от сборки.</x:v>
      </x:c>
      <x:c r="G140" s="9" t="str">
        <x:v>Запусти собственный учебный bounds-пример под ASan. Сравни допустимый и граничный вход. Сохрани точку нарушения.</x:v>
      </x:c>
      <x:c r="H140" s="9" t="str">
        <x:v>Linux-VM, свой C/ELF, GDB/Ghidra</x:v>
      </x:c>
      <x:c r="I140" s="9" t="str">
        <x:v>RU02 METANIT Язык Си — Массивы; указатели; строки; динамическая память
https://metanit.com/c/tutorial/
RU31 Microsoft Learn AddressSanitizer — Диагностика ошибок памяти
https://learn.microsoft.com/ru-ru/cpp/sanitizers/asan?view=msvc-170</x:v>
      </x:c>
      <x:c r="J140" s="9" t="str">
        <x:v>предыдущий механизм–предыдущий механизм и C и память: объяснить процесс, байты, указатель, размер буфера и время жизни; собрать свой исправный C-пример.</x:v>
      </x:c>
      <x:c r="K140" s="9" t="str">
        <x:v>Какая операция первой вышла за границу?</x:v>
      </x:c>
      <x:c r="L140" s="9" t="str">
        <x:v>2027-02-17_note.md: вход, ожидание, факт, вывод, контроль</x:v>
      </x:c>
      <x:c r="M140" s="12"/>
      <x:c r="N140" s="12"/>
      <x:c r="O140" s="12"/>
      <x:c r="P140" s="14"/>
      <x:c r="Q140" s="9" t="str">
        <x:v>RU02 RU31</x:v>
      </x:c>
      <x:c r="R140" s="10" t="d">
        <x:v>2027-02-18T00:00:00.000Z</x:v>
      </x:c>
      <x:c r="S140" s="10" t="d">
        <x:v>2027-02-24T00:00:00.000Z</x:v>
      </x:c>
      <x:c r="T140" s="10" t="d">
        <x:v>2027-03-17T00:00:00.000Z</x:v>
      </x:c>
    </x:row>
    <x:row r="141" ht="76" hidden="0" customHeight="1">
      <x:c r="A141" s="10" t="d">
        <x:v>2027-02-18T00:00:00.000Z</x:v>
      </x:c>
      <x:c r="B141" s="9" t="str">
        <x:v>чт</x:v>
      </x:c>
      <x:c r="C141" s="9" t="n">
        <x:v>25</x:v>
      </x:c>
      <x:c r="D141" s="9" t="str">
        <x:v>изучение</x:v>
      </x:c>
      <x:c r="E141" s="9" t="str">
        <x:v>Срок жизни объекта C и диагностика ASan</x:v>
      </x:c>
      <x:c r="F141" s="9" t="str">
        <x:v>Разобрать: Выделение; освобождение; допустимое время обращения; первое нарушение по sanitizer.</x:v>
      </x:c>
      <x:c r="G141" s="9" t="str">
        <x:v>На своём lifetime-примере получи ASan-наблюдение по инструкции к Локальные_упражнения/05_lifetime.c. Запиши allocate, free и позднее обращение.</x:v>
      </x:c>
      <x:c r="H141" s="9" t="str">
        <x:v>Linux-VM, свой C/ELF, GDB/Ghidra</x:v>
      </x:c>
      <x:c r="I141" s="9" t="str">
        <x:v>RU02 METANIT Язык Си — Массивы; указатели; строки; динамическая память
https://metanit.com/c/tutorial/
RU31 Microsoft Learn AddressSanitizer — Диагностика ошибок памяти
https://learn.microsoft.com/ru-ru/cpp/sanitizers/asan?view=msvc-170</x:v>
      </x:c>
      <x:c r="J141" s="9" t="str">
        <x:v>предыдущий механизм–предыдущий механизм и C и память: объяснить процесс, байты, указатель, размер буфера и время жизни; собрать свой исправный C-пример.</x:v>
      </x:c>
      <x:c r="K141" s="9" t="str">
        <x:v>В какой момент указатель стал недействительным для использования?</x:v>
      </x:c>
      <x:c r="L141" s="9" t="str">
        <x:v>2027-02-18_note.md: вход, ожидание, факт, вывод, контроль</x:v>
      </x:c>
      <x:c r="M141" s="12"/>
      <x:c r="N141" s="12"/>
      <x:c r="O141" s="12"/>
      <x:c r="P141" s="14"/>
      <x:c r="Q141" s="9" t="str">
        <x:v>RU02 RU31</x:v>
      </x:c>
      <x:c r="R141" s="10" t="d">
        <x:v>2027-02-19T00:00:00.000Z</x:v>
      </x:c>
      <x:c r="S141" s="10" t="d">
        <x:v>2027-02-25T00:00:00.000Z</x:v>
      </x:c>
      <x:c r="T141" s="10" t="d">
        <x:v>2027-03-18T00:00:00.000Z</x:v>
      </x:c>
    </x:row>
    <x:row r="142" ht="64" hidden="0" customHeight="1">
      <x:c r="A142" s="10" t="d">
        <x:v>2027-02-19T00:00:00.000Z</x:v>
      </x:c>
      <x:c r="B142" s="9" t="str">
        <x:v>пт</x:v>
      </x:c>
      <x:c r="C142" s="9" t="n">
        <x:v>25</x:v>
      </x:c>
      <x:c r="D142" s="9" t="str">
        <x:v>изучение</x:v>
      </x:c>
      <x:c r="E142" s="9" t="str">
        <x:v>Сравнение нарушений bounds и lifetime</x:v>
      </x:c>
      <x:c r="F142" s="9" t="str">
        <x:v>Разобрать: Граница объекта; срок его жизни; вызывающий вход; отдельное исправление каждого дефекта.</x:v>
      </x:c>
      <x:c r="G142" s="9" t="str">
        <x:v>Сравни два подготовленных дефекта и их корректные варианты. Выпиши нарушенные договоры и контрольные входы.</x:v>
      </x:c>
      <x:c r="H142" s="9" t="str">
        <x:v>Linux-VM, свой C/ELF, GDB/Ghidra</x:v>
      </x:c>
      <x:c r="I142" s="9" t="str">
        <x:v>RU04 METANIT Ассемблер GAS x86 64 — Архитектура; регистры; представление данных
https://metanit.com/assembler/gas/
RU02 METANIT Язык Си — Типы и память
https://metanit.com/c/tutorial/</x:v>
      </x:c>
      <x:c r="J142" s="9" t="str">
        <x:v>предыдущий механизм–предыдущий механизм и C и память: объяснить процесс, байты, указатель, размер буфера и время жизни; собрать свой исправный C-пример.</x:v>
      </x:c>
      <x:c r="K142" s="9" t="str">
        <x:v>Какое исправление относится к границе, а какое — к сроку жизни?</x:v>
      </x:c>
      <x:c r="L142" s="9" t="str">
        <x:v>2027-02-19_note.md: вход, ожидание, факт, вывод, контроль</x:v>
      </x:c>
      <x:c r="M142" s="12"/>
      <x:c r="N142" s="12"/>
      <x:c r="O142" s="12"/>
      <x:c r="P142" s="14"/>
      <x:c r="Q142" s="9" t="str">
        <x:v>RU04 RU02</x:v>
      </x:c>
      <x:c r="R142" s="10" t="d">
        <x:v>2027-02-20T00:00:00.000Z</x:v>
      </x:c>
      <x:c r="S142" s="10" t="d">
        <x:v>2027-02-26T00:00:00.000Z</x:v>
      </x:c>
      <x:c r="T142" s="10" t="d">
        <x:v>2027-03-19T00:00:00.000Z</x:v>
      </x:c>
    </x:row>
    <x:row r="143" ht="64" hidden="0" customHeight="1">
      <x:c r="A143" s="10" t="d">
        <x:v>2027-02-20T00:00:00.000Z</x:v>
      </x:c>
      <x:c r="B143" s="9" t="str">
        <x:v>сб</x:v>
      </x:c>
      <x:c r="C143" s="9" t="n">
        <x:v>25</x:v>
      </x:c>
      <x:c r="D143" s="9" t="str">
        <x:v>повторение</x:v>
      </x:c>
      <x:c r="E143" s="9" t="str">
        <x:v>Карточка причины дефекта собственной программы</x:v>
      </x:c>
      <x:c r="F143" s="9" t="str">
        <x:v>Повторить: Вход; точка нарушения; первопричина; исправление и условия сборки.</x:v>
      </x:c>
      <x:c r="G143" s="9" t="str">
        <x:v>Оформи три карточки своих C-примеров: bytes/layout, bounds, lifetime. Повтори по одной записи из чистой папки.</x:v>
      </x:c>
      <x:c r="H143" s="9" t="str">
        <x:v>Linux-VM, свой C/ELF, GDB/Ghidra</x:v>
      </x:c>
      <x:c r="I143" s="9" t="str">
        <x:v>RU04 METANIT Ассемблер GAS x86 64 — Архитектура; регистры; представление данных
https://metanit.com/assembler/gas/
RU02 METANIT Язык Си — Типы и память
https://metanit.com/c/tutorial/</x:v>
      </x:c>
      <x:c r="J143" s="9" t="str">
        <x:v>предыдущий механизм–предыдущий механизм и C и память: объяснить процесс, байты, указатель, размер буфера и время жизни; собрать свой исправный C-пример.</x:v>
      </x:c>
      <x:c r="K143" s="9" t="str">
        <x:v>Какой факт должен присутствовать в каждой карточке причины?</x:v>
      </x:c>
      <x:c r="L143" s="9" t="str">
        <x:v>2027-02-20_note.md: вход, ожидание, факт, вывод, контроль</x:v>
      </x:c>
      <x:c r="M143" s="12"/>
      <x:c r="N143" s="12"/>
      <x:c r="O143" s="12"/>
      <x:c r="P143" s="14"/>
      <x:c r="Q143" s="9" t="str">
        <x:v>RU04 RU02</x:v>
      </x:c>
      <x:c r="R143" s="10" t="d">
        <x:v>2027-02-21T00:00:00.000Z</x:v>
      </x:c>
      <x:c r="S143" s="10" t="d">
        <x:v>2027-02-27T00:00:00.000Z</x:v>
      </x:c>
      <x:c r="T143" s="10" t="d">
        <x:v>2027-03-20T00:00:00.000Z</x:v>
      </x:c>
    </x:row>
    <x:row r="144" ht="28" hidden="0" customHeight="1">
      <x:c r="A144" s="10" t="d">
        <x:v>2027-02-21T00:00:00.000Z</x:v>
      </x:c>
      <x:c r="B144" s="9" t="str">
        <x:v>вс</x:v>
      </x:c>
      <x:c r="C144" s="9" t="n">
        <x:v>25</x:v>
      </x:c>
      <x:c r="D144" s="9" t="str">
        <x:v>повторение</x:v>
      </x:c>
      <x:c r="E144" s="9" t="str">
        <x:v>Повторение Карточка причины дефекта собственной программы</x:v>
      </x:c>
      <x:c r="F144" s="9" t="str">
        <x:v>Вспомнить Вход и объяснить один отрицательный контроль по готовой заметке.</x:v>
      </x:c>
      <x:c r="G144" s="9" t="str">
        <x:v>Сверить ответ с собственной записью. Новую лабораторию не открывать.</x:v>
      </x:c>
      <x:c r="H144" s="9" t="str">
        <x:v>Linux-VM, свой C/ELF, GDB/Ghidra</x:v>
      </x:c>
      <x:c r="I144" s="9" t="str">
        <x:v>Своя готовая заметка по теме; нового чтения нет</x:v>
      </x:c>
      <x:c r="J144" s="9" t="str">
        <x:v>предыдущий механизм–предыдущий механизм и C и память: объяснить процесс, байты, указатель, размер буфера и время жизни; собрать свой исправный C-пример.</x:v>
      </x:c>
      <x:c r="K144" s="9" t="str">
        <x:v>Какой факт недели лучше всего подтверждает освоенный механизм?</x:v>
      </x:c>
      <x:c r="L144" s="9" t="str">
        <x:v>Карточка памяти по готовой заметке</x:v>
      </x:c>
      <x:c r="M144" s="12"/>
      <x:c r="N144" s="12"/>
      <x:c r="O144" s="12"/>
      <x:c r="P144" s="14"/>
      <x:c r="Q144" s="9" t="str">
        <x:v>своя заметка</x:v>
      </x:c>
      <x:c r="R144" s="10" t="d">
        <x:v>2027-02-22T00:00:00.000Z</x:v>
      </x:c>
      <x:c r="S144" s="10" t="d">
        <x:v>2027-03-01T00:00:00.000Z</x:v>
      </x:c>
      <x:c r="T144" s="10" t="d">
        <x:v>2027-03-21T00:00:00.000Z</x:v>
      </x:c>
    </x:row>
    <x:row r="145" ht="40" hidden="0" customHeight="1">
      <x:c r="A145" s="10" t="d">
        <x:v>2027-02-22T00:00:00.000Z</x:v>
      </x:c>
      <x:c r="B145" s="9" t="str">
        <x:v>пн</x:v>
      </x:c>
      <x:c r="C145" s="9" t="n">
        <x:v>26</x:v>
      </x:c>
      <x:c r="D145" s="9" t="str">
        <x:v>изучение</x:v>
      </x:c>
      <x:c r="E145" s="9" t="str">
        <x:v>Соответствие функции C и инструкций assembly</x:v>
      </x:c>
      <x:c r="F145" s="9" t="str">
        <x:v>Разобрать: Операции регистров; обращения к памяти; структура функции; влияние оптимизации.</x:v>
      </x:c>
      <x:c r="G145" s="9" t="str">
        <x:v>Собери собственную короткую функцию без оптимизации. Сопоставь 10 инструкций с её C-выражениями и сохранённым результатом.</x:v>
      </x:c>
      <x:c r="H145" s="9" t="str">
        <x:v>Linux-VM, свой C/ELF, GDB/Ghidra</x:v>
      </x:c>
      <x:c r="I145" s="9" t="str">
        <x:v>RU04 METANIT Ассемблер GAS x86 64 — Стек; функции; флаги и переходы
https://metanit.com/assembler/gas/</x:v>
      </x:c>
      <x:c r="J145" s="9" t="str">
        <x:v>предыдущий механизм–предыдущий механизм и C и память: объяснить процесс, байты, указатель, размер буфера и время жизни; собрать свой исправный C-пример.</x:v>
      </x:c>
      <x:c r="K145" s="9" t="str">
        <x:v>Какую операцию C выполняет выбранная инструкция?</x:v>
      </x:c>
      <x:c r="L145" s="9" t="str">
        <x:v>2027-02-22_note.md: вход, ожидание, факт, вывод, контроль</x:v>
      </x:c>
      <x:c r="M145" s="12"/>
      <x:c r="N145" s="12"/>
      <x:c r="O145" s="12"/>
      <x:c r="P145" s="14"/>
      <x:c r="Q145" s="9" t="str">
        <x:v>RU04</x:v>
      </x:c>
      <x:c r="R145" s="10" t="d">
        <x:v>2027-02-23T00:00:00.000Z</x:v>
      </x:c>
      <x:c r="S145" s="10" t="d">
        <x:v>2027-03-01T00:00:00.000Z</x:v>
      </x:c>
      <x:c r="T145" s="10" t="d">
        <x:v>2027-03-22T00:00:00.000Z</x:v>
      </x:c>
    </x:row>
    <x:row r="146" ht="40" hidden="0" customHeight="1">
      <x:c r="A146" s="10" t="d">
        <x:v>2027-02-23T00:00:00.000Z</x:v>
      </x:c>
      <x:c r="B146" s="9" t="str">
        <x:v>вт</x:v>
      </x:c>
      <x:c r="C146" s="9" t="n">
        <x:v>26</x:v>
      </x:c>
      <x:c r="D146" s="9" t="str">
        <x:v>изучение</x:v>
      </x:c>
      <x:c r="E146" s="9" t="str">
        <x:v>Флаги сравнения и условные переходы x86-64</x:v>
      </x:c>
      <x:c r="F146" s="9" t="str">
        <x:v>Разобрать: cmp; флаги; условный branch; signed и unsigned трактовка.</x:v>
      </x:c>
      <x:c r="G146" s="9" t="str">
        <x:v>Разбери одну cmp/branch-пару своего бинарника. Проверь два входа по разные стороны границы и запиши ожидаемую ветвь.</x:v>
      </x:c>
      <x:c r="H146" s="9" t="str">
        <x:v>Linux-VM, свой C/ELF, GDB/Ghidra</x:v>
      </x:c>
      <x:c r="I146" s="9" t="str">
        <x:v>RU04 METANIT Ассемблер GAS x86 64 — Стек; функции; флаги и переходы
https://metanit.com/assembler/gas/</x:v>
      </x:c>
      <x:c r="J146" s="9" t="str">
        <x:v>предыдущий механизм–предыдущий механизм и C и память: объяснить процесс, байты, указатель, размер буфера и время жизни; собрать свой исправный C-пример.</x:v>
      </x:c>
      <x:c r="K146" s="9" t="str">
        <x:v>Какая интерпретация значения нужна для выбранного перехода?</x:v>
      </x:c>
      <x:c r="L146" s="9" t="str">
        <x:v>2027-02-23_note.md: вход, ожидание, факт, вывод, контроль</x:v>
      </x:c>
      <x:c r="M146" s="12"/>
      <x:c r="N146" s="12"/>
      <x:c r="O146" s="12"/>
      <x:c r="P146" s="14"/>
      <x:c r="Q146" s="9" t="str">
        <x:v>RU04</x:v>
      </x:c>
      <x:c r="R146" s="10" t="d">
        <x:v>2027-02-24T00:00:00.000Z</x:v>
      </x:c>
      <x:c r="S146" s="10" t="d">
        <x:v>2027-03-02T00:00:00.000Z</x:v>
      </x:c>
      <x:c r="T146" s="10" t="d">
        <x:v>2027-03-23T00:00:00.000Z</x:v>
      </x:c>
    </x:row>
    <x:row r="147" ht="40" hidden="0" customHeight="1">
      <x:c r="A147" s="10" t="d">
        <x:v>2027-02-24T00:00:00.000Z</x:v>
      </x:c>
      <x:c r="B147" s="9" t="str">
        <x:v>ср</x:v>
      </x:c>
      <x:c r="C147" s="9" t="n">
        <x:v>26</x:v>
      </x:c>
      <x:c r="D147" s="9" t="str">
        <x:v>изучение</x:v>
      </x:c>
      <x:c r="E147" s="9" t="str">
        <x:v>Договор вызова System V AMD64</x:v>
      </x:c>
      <x:c r="F147" s="9" t="str">
        <x:v>Разобрать: Аргументные регистры; возвращаемое значение; сохраняемые регистры; состояние stack при вызове.</x:v>
      </x:c>
      <x:c r="G147" s="9" t="str">
        <x:v>Перед вызовом своей функции проверь регистры аргументов в GDB, затем возврат. Нарисуй таблицу до/после.</x:v>
      </x:c>
      <x:c r="H147" s="9" t="str">
        <x:v>Linux-VM, свой C/ELF, GDB/Ghidra</x:v>
      </x:c>
      <x:c r="I147" s="9" t="str">
        <x:v>RU04 METANIT Ассемблер GAS x86 64 — Стек; функции; флаги и переходы
https://metanit.com/assembler/gas/</x:v>
      </x:c>
      <x:c r="J147" s="9" t="str">
        <x:v>предыдущий механизм–предыдущий механизм и C и память: объяснить процесс, байты, указатель, размер буфера и время жизни; собрать свой исправный C-пример.</x:v>
      </x:c>
      <x:c r="K147" s="9" t="str">
        <x:v>Какие регистры относятся к первым аргументам именно этого ABI?</x:v>
      </x:c>
      <x:c r="L147" s="9" t="str">
        <x:v>2027-02-24_note.md: вход, ожидание, факт, вывод, контроль</x:v>
      </x:c>
      <x:c r="M147" s="12"/>
      <x:c r="N147" s="12"/>
      <x:c r="O147" s="12"/>
      <x:c r="P147" s="14"/>
      <x:c r="Q147" s="9" t="str">
        <x:v>RU04</x:v>
      </x:c>
      <x:c r="R147" s="10" t="d">
        <x:v>2027-02-25T00:00:00.000Z</x:v>
      </x:c>
      <x:c r="S147" s="10" t="d">
        <x:v>2027-03-03T00:00:00.000Z</x:v>
      </x:c>
      <x:c r="T147" s="10" t="d">
        <x:v>2027-03-24T00:00:00.000Z</x:v>
      </x:c>
    </x:row>
    <x:row r="148" ht="52" hidden="0" customHeight="1">
      <x:c r="A148" s="10" t="d">
        <x:v>2027-02-25T00:00:00.000Z</x:v>
      </x:c>
      <x:c r="B148" s="9" t="str">
        <x:v>чт</x:v>
      </x:c>
      <x:c r="C148" s="9" t="n">
        <x:v>26</x:v>
      </x:c>
      <x:c r="D148" s="9" t="str">
        <x:v>изучение</x:v>
      </x:c>
      <x:c r="E148" s="9" t="str">
        <x:v>Договор вызова Windows x64 и shadow space</x:v>
      </x:c>
      <x:c r="F148" s="9" t="str">
        <x:v>Разобрать: Аргументные регистры Windows; shadow space; возврат; различия с System V.</x:v>
      </x:c>
      <x:c r="G148" s="9" t="str">
        <x:v>По собственной Windows-функции или схеме из RU33 подпиши четыре аргумента и shadow space. Сравни с System V.</x:v>
      </x:c>
      <x:c r="H148" s="9" t="str">
        <x:v>Linux-VM, свой C/ELF, GDB/Ghidra</x:v>
      </x:c>
      <x:c r="I148" s="9" t="str">
        <x:v>RU33 Microsoft Learn Соглашение о вызовах x64 — Передача параметров; выравнивание; shadow space
https://learn.microsoft.com/ru-ru/cpp/build/x64-calling-convention?view=msvc-170</x:v>
      </x:c>
      <x:c r="J148" s="9" t="str">
        <x:v>предыдущий механизм–предыдущий механизм и C и память: объяснить процесс, байты, указатель, размер буфера и время жизни; собрать свой исправный C-пример.</x:v>
      </x:c>
      <x:c r="K148" s="9" t="str">
        <x:v>Какая часть Linux-схемы не переносится в Windows x64?</x:v>
      </x:c>
      <x:c r="L148" s="9" t="str">
        <x:v>2027-02-25_note.md: вход, ожидание, факт, вывод, контроль</x:v>
      </x:c>
      <x:c r="M148" s="12"/>
      <x:c r="N148" s="12"/>
      <x:c r="O148" s="12"/>
      <x:c r="P148" s="14"/>
      <x:c r="Q148" s="9" t="str">
        <x:v>RU33</x:v>
      </x:c>
      <x:c r="R148" s="10" t="d">
        <x:v>2027-02-26T00:00:00.000Z</x:v>
      </x:c>
      <x:c r="S148" s="10" t="d">
        <x:v>2027-03-04T00:00:00.000Z</x:v>
      </x:c>
      <x:c r="T148" s="10" t="d">
        <x:v>2027-03-25T00:00:00.000Z</x:v>
      </x:c>
    </x:row>
    <x:row r="149" ht="40" hidden="0" customHeight="1">
      <x:c r="A149" s="10" t="d">
        <x:v>2027-02-26T00:00:00.000Z</x:v>
      </x:c>
      <x:c r="B149" s="9" t="str">
        <x:v>пт</x:v>
      </x:c>
      <x:c r="C149" s="9" t="n">
        <x:v>26</x:v>
      </x:c>
      <x:c r="D149" s="9" t="str">
        <x:v>изучение</x:v>
      </x:c>
      <x:c r="E149" s="9" t="str">
        <x:v>Stack frame и выравнивание на границе вызова</x:v>
      </x:c>
      <x:c r="F149" s="9" t="str">
        <x:v>Разобрать: Stack pointer; локальные данные; необязательный frame pointer; требуемое выравнивание.</x:v>
      </x:c>
      <x:c r="G149" s="9" t="str">
        <x:v>В своей сборке отметь stack pointer, локальные объекты и возврат. Проверь выравнивание перед выбранным вызовом.</x:v>
      </x:c>
      <x:c r="H149" s="9" t="str">
        <x:v>Linux-VM, свой C/ELF, GDB/Ghidra</x:v>
      </x:c>
      <x:c r="I149" s="9" t="str">
        <x:v>RU04 METANIT Ассемблер GAS x86 64 — Стек; функции; флаги и переходы
https://metanit.com/assembler/gas/</x:v>
      </x:c>
      <x:c r="J149" s="9" t="str">
        <x:v>предыдущий механизм–предыдущий механизм и C и память: объяснить процесс, байты, указатель, размер буфера и время жизни; собрать свой исправный C-пример.</x:v>
      </x:c>
      <x:c r="K149" s="9" t="str">
        <x:v>Почему нельзя всегда восстановить кадр только по RBP?</x:v>
      </x:c>
      <x:c r="L149" s="9" t="str">
        <x:v>2027-02-26_note.md: вход, ожидание, факт, вывод, контроль</x:v>
      </x:c>
      <x:c r="M149" s="12"/>
      <x:c r="N149" s="12"/>
      <x:c r="O149" s="12"/>
      <x:c r="P149" s="14"/>
      <x:c r="Q149" s="9" t="str">
        <x:v>RU04</x:v>
      </x:c>
      <x:c r="R149" s="10" t="d">
        <x:v>2027-02-27T00:00:00.000Z</x:v>
      </x:c>
      <x:c r="S149" s="10" t="d">
        <x:v>2027-03-05T00:00:00.000Z</x:v>
      </x:c>
      <x:c r="T149" s="10" t="d">
        <x:v>2027-03-26T00:00:00.000Z</x:v>
      </x:c>
    </x:row>
    <x:row r="150" ht="40" hidden="0" customHeight="1">
      <x:c r="A150" s="10" t="d">
        <x:v>2027-02-27T00:00:00.000Z</x:v>
      </x:c>
      <x:c r="B150" s="9" t="str">
        <x:v>сб</x:v>
      </x:c>
      <x:c r="C150" s="9" t="n">
        <x:v>26</x:v>
      </x:c>
      <x:c r="D150" s="9" t="str">
        <x:v>повторение</x:v>
      </x:c>
      <x:c r="E150" s="9" t="str">
        <x:v>Чтение короткого участка assembly без исходника</x:v>
      </x:c>
      <x:c r="F150" s="9" t="str">
        <x:v>Повторить: Аргументы и возврат; ветвление; предполагаемые типы; контрольные входы функции.</x:v>
      </x:c>
      <x:c r="G150" s="9" t="str">
        <x:v>Возьми небольшой участок инструкций своей функции. Восстанови аргументы, ветвь и возврат, затем сверь с двумя запусками.</x:v>
      </x:c>
      <x:c r="H150" s="9" t="str">
        <x:v>Linux-VM, свой C/ELF, GDB/Ghidra</x:v>
      </x:c>
      <x:c r="I150" s="9" t="str">
        <x:v>RU04 METANIT Ассемблер GAS x86 64 — Стек; функции; флаги и переходы
https://metanit.com/assembler/gas/</x:v>
      </x:c>
      <x:c r="J150" s="9" t="str">
        <x:v>предыдущий механизм–предыдущий механизм и C и память: объяснить процесс, байты, указатель, размер буфера и время жизни; собрать свой исправный C-пример.</x:v>
      </x:c>
      <x:c r="K150" s="9" t="str">
        <x:v>Какой контроль подтвердил твою интерпретацию ветви?</x:v>
      </x:c>
      <x:c r="L150" s="9" t="str">
        <x:v>2027-02-27_note.md: вход, ожидание, факт, вывод, контроль</x:v>
      </x:c>
      <x:c r="M150" s="12"/>
      <x:c r="N150" s="12"/>
      <x:c r="O150" s="12"/>
      <x:c r="P150" s="14"/>
      <x:c r="Q150" s="9" t="str">
        <x:v>RU04</x:v>
      </x:c>
      <x:c r="R150" s="10" t="d">
        <x:v>2027-03-01T00:00:00.000Z</x:v>
      </x:c>
      <x:c r="S150" s="10" t="d">
        <x:v>2027-03-06T00:00:00.000Z</x:v>
      </x:c>
      <x:c r="T150" s="10" t="d">
        <x:v>2027-03-27T00:00:00.000Z</x:v>
      </x:c>
    </x:row>
    <x:row r="151" ht="19" hidden="0" customHeight="1">
      <x:c r="A151" s="10" t="d">
        <x:v>2027-02-28T00:00:00.000Z</x:v>
      </x:c>
      <x:c r="B151" s="9" t="str">
        <x:v>вс</x:v>
      </x:c>
      <x:c r="C151" s="9" t="n">
        <x:v>26</x:v>
      </x:c>
      <x:c r="D151" s="9" t="str">
        <x:v>пауза</x:v>
      </x:c>
      <x:c r="E151" s="9" t="str">
        <x:v>Учебная пауза и восстановление</x:v>
      </x:c>
      <x:c r="F151" s="9" t="str">
        <x:v>Новых учебных задач нет.</x:v>
      </x:c>
      <x:c r="G151" s="9" t="str">
        <x:v>Практика не назначена</x:v>
      </x:c>
      <x:c r="H151" s="9" t="str">
        <x:v>Не требуется</x:v>
      </x:c>
      <x:c r="I151" s="9" t="str">
        <x:v>Чтение не назначено</x:v>
      </x:c>
      <x:c r="J151" s="9" t="str">
        <x:v>Учебная пауза; допуск и практику сегодня не проверять.</x:v>
      </x:c>
      <x:c r="K151" s="9" t="str">
        <x:v>Учебного зачёта сегодня нет.</x:v>
      </x:c>
      <x:c r="L151" s="9" t="str">
        <x:v>Учебного артефакта нет</x:v>
      </x:c>
      <x:c r="M151" s="12"/>
      <x:c r="N151" s="12"/>
      <x:c r="O151" s="12"/>
      <x:c r="P151" s="14"/>
      <x:c r="Q151" s="9" t="str">
        <x:v>пауза</x:v>
      </x:c>
      <x:c r="R151" s="10"/>
      <x:c r="S151" s="10"/>
      <x:c r="T151" s="10"/>
    </x:row>
    <x:row r="152" ht="76" hidden="0" customHeight="1">
      <x:c r="A152" s="10" t="d">
        <x:v>2027-03-01T00:00:00.000Z</x:v>
      </x:c>
      <x:c r="B152" s="9" t="str">
        <x:v>пн</x:v>
      </x:c>
      <x:c r="C152" s="9" t="n">
        <x:v>27</x:v>
      </x:c>
      <x:c r="D152" s="9" t="str">
        <x:v>изучение</x:v>
      </x:c>
      <x:c r="E152" s="9" t="str">
        <x:v>Time to learn x86 ASM &amp; gdb — шаг 1 из 6</x:v>
      </x:c>
      <x:c r="F152" s="9" t="str">
        <x:v>Изучить и проверить: Assembly и состояние процесса; breakpoint и регистр; условная ветвь и проверяемая гипотеза.</x:v>
      </x:c>
      <x:c r="G152" s="9" t="str">
        <x:v>Открой таск и сохрани выданный файл с хэшем. Определи архитектуру и формат; выпиши отличия его регистров и ABI от основной линии x86-64. При недоступности — локальная замена из карточки R11 в документе 12.
Локальная замена: В GDB разбери одну функцию собственной сборки native_lab.c: точка останова, регистры, условная ветвь и два входа. Запиши реальную архитектуру и не переноси ABI другой разрядности. Продолжай один и тот же локальный пример по шагу текущего дня.</x:v>
      </x:c>
      <x:c r="H152" s="9" t="str">
        <x:v>file, readelf, GDB или pwndbg, выданный файл</x:v>
      </x:c>
      <x:c r="I152" s="9" t="str">
        <x:v>RU29 Андрей Коновалов CTF на Физтехе — 04-binary: x86 разрядность стек и соглашения вызова
https://github.com/xairy/mipt-ctf
RU27 GNU Отладка с помощью GDB русский перевод — Точки останова пошаговое выполнение и регистры
https://www.opennet.ru/docs/RUS/gdb/</x:v>
      </x:c>
      <x:c r="J152" s="9" t="str">
        <x:v>Недели 25–26: C указатели ABI стек; обычный запуск и базовая отладка. Сначала проверить разрядность файла.</x:v>
      </x:c>
      <x:c r="K152" s="9" t="str">
        <x:v>Что подтверждено собственным наблюдением, какой неверный контроль это ограничивает и смогу ли я повторить шаг без ИИ?</x:v>
      </x:c>
      <x:c r="L152" s="9" t="str">
        <x:v>2027-03-01_R11_note.md: вход, версия, наблюдение, контроль, подсказки и следующий шаг</x:v>
      </x:c>
      <x:c r="M152" s="12"/>
      <x:c r="N152" s="12"/>
      <x:c r="O152" s="12"/>
      <x:c r="P152" s="14"/>
      <x:c r="Q152" s="9" t="str">
        <x:v>R11 Time to learn x86 ASM &amp; gdb; шаг 1/6
https://ringzer0ctf.com/challenges/11</x:v>
      </x:c>
      <x:c r="R152" s="10" t="d">
        <x:v>2027-03-02T00:00:00.000Z</x:v>
      </x:c>
      <x:c r="S152" s="10" t="d">
        <x:v>2027-03-08T00:00:00.000Z</x:v>
      </x:c>
      <x:c r="T152" s="10" t="d">
        <x:v>2027-03-29T00:00:00.000Z</x:v>
      </x:c>
    </x:row>
    <x:row r="153" ht="76" hidden="0" customHeight="1">
      <x:c r="A153" s="10" t="d">
        <x:v>2027-03-02T00:00:00.000Z</x:v>
      </x:c>
      <x:c r="B153" s="9" t="str">
        <x:v>вт</x:v>
      </x:c>
      <x:c r="C153" s="9" t="n">
        <x:v>27</x:v>
      </x:c>
      <x:c r="D153" s="9" t="str">
        <x:v>изучение</x:v>
      </x:c>
      <x:c r="E153" s="9" t="str">
        <x:v>Time to learn x86 ASM &amp; gdb — шаг 2 из 6</x:v>
      </x:c>
      <x:c r="F153" s="9" t="str">
        <x:v>Изучить и проверить: Assembly и состояние процесса; breakpoint и регистр; условная ветвь и проверяемая гипотеза.</x:v>
      </x:c>
      <x:c r="G153" s="9" t="str">
        <x:v>В GDB поставь точку до значимой проверки. Сохрани регистры и данные до исполнения; сформулируй предсказание. При недоступности — локальная замена из карточки R11 в документе 12.
Локальная замена: В GDB разбери одну функцию собственной сборки native_lab.c: точка останова, регистры, условная ветвь и два входа. Запиши реальную архитектуру и не переноси ABI другой разрядности. Продолжай один и тот же локальный пример по шагу текущего дня.</x:v>
      </x:c>
      <x:c r="H153" s="9" t="str">
        <x:v>file, readelf, GDB или pwndbg, выданный файл</x:v>
      </x:c>
      <x:c r="I153" s="9" t="str">
        <x:v>RU29 Андрей Коновалов CTF на Физтехе — 04-binary: x86 разрядность стек и соглашения вызова
https://github.com/xairy/mipt-ctf
RU27 GNU Отладка с помощью GDB русский перевод — Точки останова пошаговое выполнение и регистры
https://www.opennet.ru/docs/RUS/gdb/</x:v>
      </x:c>
      <x:c r="J153" s="9" t="str">
        <x:v>Недели 25–26: C указатели ABI стек; обычный запуск и базовая отладка. Сначала проверить разрядность файла.</x:v>
      </x:c>
      <x:c r="K153" s="9" t="str">
        <x:v>Что подтверждено собственным наблюдением, какой неверный контроль это ограничивает и смогу ли я повторить шаг без ИИ?</x:v>
      </x:c>
      <x:c r="L153" s="9" t="str">
        <x:v>2027-03-02_R11_note.md: вход, версия, наблюдение, контроль, подсказки и следующий шаг</x:v>
      </x:c>
      <x:c r="M153" s="12"/>
      <x:c r="N153" s="12"/>
      <x:c r="O153" s="12"/>
      <x:c r="P153" s="14"/>
      <x:c r="Q153" s="9" t="str">
        <x:v>R11 Time to learn x86 ASM &amp; gdb; шаг 2/6
https://ringzer0ctf.com/challenges/11</x:v>
      </x:c>
      <x:c r="R153" s="10" t="d">
        <x:v>2027-03-03T00:00:00.000Z</x:v>
      </x:c>
      <x:c r="S153" s="10" t="d">
        <x:v>2027-03-09T00:00:00.000Z</x:v>
      </x:c>
      <x:c r="T153" s="10" t="d">
        <x:v>2027-03-30T00:00:00.000Z</x:v>
      </x:c>
    </x:row>
    <x:row r="154" ht="76" hidden="0" customHeight="1">
      <x:c r="A154" s="10" t="d">
        <x:v>2027-03-03T00:00:00.000Z</x:v>
      </x:c>
      <x:c r="B154" s="9" t="str">
        <x:v>ср</x:v>
      </x:c>
      <x:c r="C154" s="9" t="n">
        <x:v>27</x:v>
      </x:c>
      <x:c r="D154" s="9" t="str">
        <x:v>изучение</x:v>
      </x:c>
      <x:c r="E154" s="9" t="str">
        <x:v>Time to learn x86 ASM &amp; gdb — шаг 3 из 6</x:v>
      </x:c>
      <x:c r="F154" s="9" t="str">
        <x:v>Изучить и проверить: Assembly и состояние процесса; breakpoint и регистр; условная ветвь и проверяемая гипотеза.</x:v>
      </x:c>
      <x:c r="G154" s="9" t="str">
        <x:v>Пройди одну условную ветвь пошагово. Сопоставь флаги, значения и следующий адрес с предсказанием. При недоступности — локальная замена из карточки R11 в документе 12.
Локальная замена: В GDB разбери одну функцию собственной сборки native_lab.c: точка останова, регистры, условная ветвь и два входа. Запиши реальную архитектуру и не переноси ABI другой разрядности. Продолжай один и тот же локальный пример по шагу текущего дня.</x:v>
      </x:c>
      <x:c r="H154" s="9" t="str">
        <x:v>file, readelf, GDB или pwndbg, выданный файл</x:v>
      </x:c>
      <x:c r="I154" s="9" t="str">
        <x:v>RU29 Андрей Коновалов CTF на Физтехе — 04-binary: x86 разрядность стек и соглашения вызова
https://github.com/xairy/mipt-ctf
RU27 GNU Отладка с помощью GDB русский перевод — Точки останова пошаговое выполнение и регистры
https://www.opennet.ru/docs/RUS/gdb/</x:v>
      </x:c>
      <x:c r="J154" s="9" t="str">
        <x:v>Недели 25–26: C указатели ABI стек; обычный запуск и базовая отладка. Сначала проверить разрядность файла.</x:v>
      </x:c>
      <x:c r="K154" s="9" t="str">
        <x:v>Что подтверждено собственным наблюдением, какой неверный контроль это ограничивает и смогу ли я повторить шаг без ИИ?</x:v>
      </x:c>
      <x:c r="L154" s="9" t="str">
        <x:v>2027-03-03_R11_note.md: вход, версия, наблюдение, контроль, подсказки и следующий шаг</x:v>
      </x:c>
      <x:c r="M154" s="12"/>
      <x:c r="N154" s="12"/>
      <x:c r="O154" s="12"/>
      <x:c r="P154" s="14"/>
      <x:c r="Q154" s="9" t="str">
        <x:v>R11 Time to learn x86 ASM &amp; gdb; шаг 3/6
https://ringzer0ctf.com/challenges/11</x:v>
      </x:c>
      <x:c r="R154" s="10" t="d">
        <x:v>2027-03-04T00:00:00.000Z</x:v>
      </x:c>
      <x:c r="S154" s="10" t="d">
        <x:v>2027-03-10T00:00:00.000Z</x:v>
      </x:c>
      <x:c r="T154" s="10" t="d">
        <x:v>2027-03-31T00:00:00.000Z</x:v>
      </x:c>
    </x:row>
    <x:row r="155" ht="76" hidden="0" customHeight="1">
      <x:c r="A155" s="10" t="d">
        <x:v>2027-03-04T00:00:00.000Z</x:v>
      </x:c>
      <x:c r="B155" s="9" t="str">
        <x:v>чт</x:v>
      </x:c>
      <x:c r="C155" s="9" t="n">
        <x:v>27</x:v>
      </x:c>
      <x:c r="D155" s="9" t="str">
        <x:v>изучение</x:v>
      </x:c>
      <x:c r="E155" s="9" t="str">
        <x:v>Time to learn x86 ASM &amp; gdb — шаг 4 из 6</x:v>
      </x:c>
      <x:c r="F155" s="9" t="str">
        <x:v>Изучить и проверить: Assembly и состояние процесса; breakpoint и регистр; условная ветвь и проверяемая гипотеза.</x:v>
      </x:c>
      <x:c r="G155" s="9" t="str">
        <x:v>Проверь другое допустимое значение из условия. Сравни два наблюдения и исправь неверную модель. При недоступности — локальная замена из карточки R11 в документе 12.
Локальная замена: В GDB разбери одну функцию собственной сборки native_lab.c: точка останова, регистры, условная ветвь и два входа. Запиши реальную архитектуру и не переноси ABI другой разрядности. Продолжай один и тот же локальный пример по шагу текущего дня.</x:v>
      </x:c>
      <x:c r="H155" s="9" t="str">
        <x:v>file, readelf, GDB или pwndbg, выданный файл</x:v>
      </x:c>
      <x:c r="I155" s="9" t="str">
        <x:v>RU29 Андрей Коновалов CTF на Физтехе — 04-binary: x86 разрядность стек и соглашения вызова
https://github.com/xairy/mipt-ctf
RU27 GNU Отладка с помощью GDB русский перевод — Точки останова пошаговое выполнение и регистры
https://www.opennet.ru/docs/RUS/gdb/</x:v>
      </x:c>
      <x:c r="J155" s="9" t="str">
        <x:v>Недели 25–26: C указатели ABI стек; обычный запуск и базовая отладка. Сначала проверить разрядность файла.</x:v>
      </x:c>
      <x:c r="K155" s="9" t="str">
        <x:v>Что подтверждено собственным наблюдением, какой неверный контроль это ограничивает и смогу ли я повторить шаг без ИИ?</x:v>
      </x:c>
      <x:c r="L155" s="9" t="str">
        <x:v>2027-03-04_R11_note.md: вход, версия, наблюдение, контроль, подсказки и следующий шаг</x:v>
      </x:c>
      <x:c r="M155" s="12"/>
      <x:c r="N155" s="12"/>
      <x:c r="O155" s="12"/>
      <x:c r="P155" s="14"/>
      <x:c r="Q155" s="9" t="str">
        <x:v>R11 Time to learn x86 ASM &amp; gdb; шаг 4/6
https://ringzer0ctf.com/challenges/11</x:v>
      </x:c>
      <x:c r="R155" s="10" t="d">
        <x:v>2027-03-05T00:00:00.000Z</x:v>
      </x:c>
      <x:c r="S155" s="10" t="d">
        <x:v>2027-03-11T00:00:00.000Z</x:v>
      </x:c>
      <x:c r="T155" s="10" t="d">
        <x:v>2027-04-01T00:00:00.000Z</x:v>
      </x:c>
    </x:row>
    <x:row r="156" ht="76" hidden="0" customHeight="1">
      <x:c r="A156" s="10" t="d">
        <x:v>2027-03-05T00:00:00.000Z</x:v>
      </x:c>
      <x:c r="B156" s="9" t="str">
        <x:v>пт</x:v>
      </x:c>
      <x:c r="C156" s="9" t="n">
        <x:v>27</x:v>
      </x:c>
      <x:c r="D156" s="9" t="str">
        <x:v>изучение</x:v>
      </x:c>
      <x:c r="E156" s="9" t="str">
        <x:v>Time to learn x86 ASM &amp; gdb — шаг 5 из 6</x:v>
      </x:c>
      <x:c r="F156" s="9" t="str">
        <x:v>Изучить и проверить: Assembly и состояние процесса; breakpoint и регистр; условная ветвь и проверяемая гипотеза.</x:v>
      </x:c>
      <x:c r="G156" s="9" t="str">
        <x:v>Получив ответ, повтори объясняющий шаг с исходным файлом. Сохрани вход, breakpoint и наблюдение вместо одного скриншота. При недоступности — локальная замена из карточки R11 в документе 12.
Локальная замена: В GDB разбери одну функцию собственной сборки native_lab.c: точка останова, регистры, условная ветвь и два входа. Запиши реальную архитектуру и не переноси ABI другой разрядности. Продолжай один и тот же локальный пример по шагу текущего дня.</x:v>
      </x:c>
      <x:c r="H156" s="9" t="str">
        <x:v>file, readelf, GDB или pwndbg, выданный файл</x:v>
      </x:c>
      <x:c r="I156" s="9" t="str">
        <x:v>RU29 Андрей Коновалов CTF на Физтехе — 04-binary: x86 разрядность стек и соглашения вызова
https://github.com/xairy/mipt-ctf
RU27 GNU Отладка с помощью GDB русский перевод — Точки останова пошаговое выполнение и регистры
https://www.opennet.ru/docs/RUS/gdb/</x:v>
      </x:c>
      <x:c r="J156" s="9" t="str">
        <x:v>Недели 25–26: C указатели ABI стек; обычный запуск и базовая отладка. Сначала проверить разрядность файла.</x:v>
      </x:c>
      <x:c r="K156" s="9" t="str">
        <x:v>Что подтверждено собственным наблюдением, какой неверный контроль это ограничивает и смогу ли я повторить шаг без ИИ?</x:v>
      </x:c>
      <x:c r="L156" s="9" t="str">
        <x:v>2027-03-05_R11_note.md: вход, версия, наблюдение, контроль, подсказки и следующий шаг</x:v>
      </x:c>
      <x:c r="M156" s="12"/>
      <x:c r="N156" s="12"/>
      <x:c r="O156" s="12"/>
      <x:c r="P156" s="14"/>
      <x:c r="Q156" s="9" t="str">
        <x:v>R11 Time to learn x86 ASM &amp; gdb; шаг 5/6
https://ringzer0ctf.com/challenges/11</x:v>
      </x:c>
      <x:c r="R156" s="10" t="d">
        <x:v>2027-03-06T00:00:00.000Z</x:v>
      </x:c>
      <x:c r="S156" s="10" t="d">
        <x:v>2027-03-12T00:00:00.000Z</x:v>
      </x:c>
      <x:c r="T156" s="10" t="d">
        <x:v>2027-04-02T00:00:00.000Z</x:v>
      </x:c>
    </x:row>
    <x:row r="157" ht="76" hidden="0" customHeight="1">
      <x:c r="A157" s="10" t="d">
        <x:v>2027-03-06T00:00:00.000Z</x:v>
      </x:c>
      <x:c r="B157" s="9" t="str">
        <x:v>сб</x:v>
      </x:c>
      <x:c r="C157" s="9" t="n">
        <x:v>27</x:v>
      </x:c>
      <x:c r="D157" s="9" t="str">
        <x:v>повторение</x:v>
      </x:c>
      <x:c r="E157" s="9" t="str">
        <x:v>Time to learn x86 ASM &amp; gdb — шаг 6 из 6</x:v>
      </x:c>
      <x:c r="F157" s="9" t="str">
        <x:v>Повторить и применить: Assembly и состояние процесса; breakpoint и регистр; условная ветвь и проверяемая гипотеза.</x:v>
      </x:c>
      <x:c r="G157" s="9" t="str">
        <x:v>Заверши таск и оформи короткий write-up: архитектура вход состояние вывод и нерабочий контроль. Если ответ не принят, сохрани первый недоказанный шаг. При недоступности — локальная замена из карточки R11 в документе 12.
Локальная замена: В GDB разбери одну функцию собственной сборки native_lab.c: точка останова, регистры, условная ветвь и два входа. Запиши реальную архитектуру и не переноси ABI другой разрядности. Продолжай один и тот же локальный пример по шагу текущего дня.</x:v>
      </x:c>
      <x:c r="H157" s="9" t="str">
        <x:v>file, readelf, GDB или pwndbg, выданный файл</x:v>
      </x:c>
      <x:c r="I157" s="9" t="str">
        <x:v>RU29 Андрей Коновалов CTF на Физтехе — 04-binary: x86 разрядность стек и соглашения вызова
https://github.com/xairy/mipt-ctf
RU27 GNU Отладка с помощью GDB русский перевод — Точки останова пошаговое выполнение и регистры
https://www.opennet.ru/docs/RUS/gdb/</x:v>
      </x:c>
      <x:c r="J157" s="9" t="str">
        <x:v>Недели 25–26: C указатели ABI стек; обычный запуск и базовая отладка. Сначала проверить разрядность файла.</x:v>
      </x:c>
      <x:c r="K157" s="9" t="str">
        <x:v>Что подтверждено собственным наблюдением, какой неверный контроль это ограничивает и смогу ли я повторить шаг без ИИ?</x:v>
      </x:c>
      <x:c r="L157" s="9" t="str">
        <x:v>2027-03-06_R11_note.md: вход, версия, наблюдение, контроль, подсказки и следующий шаг</x:v>
      </x:c>
      <x:c r="M157" s="12"/>
      <x:c r="N157" s="12"/>
      <x:c r="O157" s="12"/>
      <x:c r="P157" s="14"/>
      <x:c r="Q157" s="9" t="str">
        <x:v>R11 Time to learn x86 ASM &amp; gdb; шаг 6/6
https://ringzer0ctf.com/challenges/11</x:v>
      </x:c>
      <x:c r="R157" s="10" t="d">
        <x:v>2027-03-08T00:00:00.000Z</x:v>
      </x:c>
      <x:c r="S157" s="10" t="d">
        <x:v>2027-03-13T00:00:00.000Z</x:v>
      </x:c>
      <x:c r="T157" s="10" t="d">
        <x:v>2027-04-03T00:00:00.000Z</x:v>
      </x:c>
    </x:row>
    <x:row r="158" ht="19" hidden="0" customHeight="1">
      <x:c r="A158" s="10" t="d">
        <x:v>2027-03-07T00:00:00.000Z</x:v>
      </x:c>
      <x:c r="B158" s="9" t="str">
        <x:v>вс</x:v>
      </x:c>
      <x:c r="C158" s="9" t="n">
        <x:v>27</x:v>
      </x:c>
      <x:c r="D158" s="9" t="str">
        <x:v>пауза</x:v>
      </x:c>
      <x:c r="E158" s="9" t="str">
        <x:v>Учебная пауза и восстановление</x:v>
      </x:c>
      <x:c r="F158" s="9" t="str">
        <x:v>Новых учебных задач нет.</x:v>
      </x:c>
      <x:c r="G158" s="9" t="str">
        <x:v>Практика не назначена</x:v>
      </x:c>
      <x:c r="H158" s="9" t="str">
        <x:v>Не требуется</x:v>
      </x:c>
      <x:c r="I158" s="9" t="str">
        <x:v>Чтение не назначено</x:v>
      </x:c>
      <x:c r="J158" s="9" t="str">
        <x:v>Учебная пауза; допуск и практику сегодня не проверять.</x:v>
      </x:c>
      <x:c r="K158" s="9" t="str">
        <x:v>Учебного зачёта сегодня нет.</x:v>
      </x:c>
      <x:c r="L158" s="9" t="str">
        <x:v>Учебного артефакта нет</x:v>
      </x:c>
      <x:c r="M158" s="12"/>
      <x:c r="N158" s="12"/>
      <x:c r="O158" s="12"/>
      <x:c r="P158" s="14"/>
      <x:c r="Q158" s="9" t="str">
        <x:v>пауза</x:v>
      </x:c>
      <x:c r="R158" s="10"/>
      <x:c r="S158" s="10"/>
      <x:c r="T158" s="10"/>
    </x:row>
    <x:row r="159" ht="88" hidden="0" customHeight="1">
      <x:c r="A159" s="10" t="d">
        <x:v>2027-03-08T00:00:00.000Z</x:v>
      </x:c>
      <x:c r="B159" s="9" t="str">
        <x:v>пн</x:v>
      </x:c>
      <x:c r="C159" s="9" t="n">
        <x:v>28</x:v>
      </x:c>
      <x:c r="D159" s="9" t="str">
        <x:v>изучение</x:v>
      </x:c>
      <x:c r="E159" s="9" t="str">
        <x:v>Can you see through the star — шаг 1 из 6</x:v>
      </x:c>
      <x:c r="F159" s="9" t="str">
        <x:v>Изучить и проверить: Статическая модель программы; ссылки на данные; границы вывода декомпилятора.</x:v>
      </x:c>
      <x:c r="G159" s="9" t="str">
        <x:v>Сохрани исходный файл таска и хэш. Определи формат, разрядность и нужную VM. Создай проект Ghidra с правильным языком процессора. При недоступности — локальная замена из карточки R110 в документе 12.
Локальная замена: В Ghidra восстанови одну функцию собственной сборки native_lab.c. Сверь строки, ссылки, листинг и два входа с исходным кодом; неподтверждённый запуск пометь отдельно. Продолжай один и тот же локальный пример по шагу текущего дня.</x:v>
      </x:c>
      <x:c r="H159" s="9" t="str">
        <x:v>Ghidra, file, подходящий отладчик в VM</x:v>
      </x:c>
      <x:c r="I159" s="9" t="str">
        <x:v>RU30 S0mbre Разбор учебного crackme в Ghidra — Проект анализ листинг и декомпилятор
https://habr.com/ru/articles/447450/
RU27 GNU Отладка с помощью GDB русский перевод — Сверка наблюдения в отладчике
https://www.opennet.ru/docs/RUS/gdb/</x:v>
      </x:c>
      <x:c r="J159" s="9" t="str">
        <x:v>R11; Ghidra; типы указателей и проверка ветвей. Архитектуру и формат определять по файлу.</x:v>
      </x:c>
      <x:c r="K159" s="9" t="str">
        <x:v>Что подтверждено собственным наблюдением, какой неверный контроль это ограничивает и смогу ли я повторить шаг без ИИ?</x:v>
      </x:c>
      <x:c r="L159" s="9" t="str">
        <x:v>2027-03-08_R110_note.md: вход, версия, наблюдение, контроль, подсказки и следующий шаг</x:v>
      </x:c>
      <x:c r="M159" s="12"/>
      <x:c r="N159" s="12"/>
      <x:c r="O159" s="12"/>
      <x:c r="P159" s="14"/>
      <x:c r="Q159" s="9" t="str">
        <x:v>R110 Can you see through the star; шаг 1/6
https://ringzer0ctf.com/challenges/110
Вместо блока, один вариант: HVA01; карточки в документе 12.</x:v>
      </x:c>
      <x:c r="R159" s="10" t="d">
        <x:v>2027-03-09T00:00:00.000Z</x:v>
      </x:c>
      <x:c r="S159" s="10" t="d">
        <x:v>2027-03-15T00:00:00.000Z</x:v>
      </x:c>
      <x:c r="T159" s="10" t="d">
        <x:v>2027-04-05T00:00:00.000Z</x:v>
      </x:c>
    </x:row>
    <x:row r="160" ht="88" hidden="0" customHeight="1">
      <x:c r="A160" s="10" t="d">
        <x:v>2027-03-09T00:00:00.000Z</x:v>
      </x:c>
      <x:c r="B160" s="9" t="str">
        <x:v>вт</x:v>
      </x:c>
      <x:c r="C160" s="9" t="n">
        <x:v>28</x:v>
      </x:c>
      <x:c r="D160" s="9" t="str">
        <x:v>изучение</x:v>
      </x:c>
      <x:c r="E160" s="9" t="str">
        <x:v>Can you see through the star — шаг 2 из 6</x:v>
      </x:c>
      <x:c r="F160" s="9" t="str">
        <x:v>Изучить и проверить: Статическая модель программы; ссылки на данные; границы вывода декомпилятора.</x:v>
      </x:c>
      <x:c r="G160" s="9" t="str">
        <x:v>Найди строки и реальные ссылки на них. Выдели одну функцию, влияющую на проверку, и запиши основание выбора. При недоступности — локальная замена из карточки R110 в документе 12.
Локальная замена: В Ghidra восстанови одну функцию собственной сборки native_lab.c. Сверь строки, ссылки, листинг и два входа с исходным кодом; неподтверждённый запуск пометь отдельно. Продолжай один и тот же локальный пример по шагу текущего дня.</x:v>
      </x:c>
      <x:c r="H160" s="9" t="str">
        <x:v>Ghidra, file, подходящий отладчик в VM</x:v>
      </x:c>
      <x:c r="I160" s="9" t="str">
        <x:v>RU30 S0mbre Разбор учебного crackme в Ghidra — Проект анализ листинг и декомпилятор
https://habr.com/ru/articles/447450/
RU27 GNU Отладка с помощью GDB русский перевод — Сверка наблюдения в отладчике
https://www.opennet.ru/docs/RUS/gdb/</x:v>
      </x:c>
      <x:c r="J160" s="9" t="str">
        <x:v>R11; Ghidra; типы указателей и проверка ветвей. Архитектуру и формат определять по файлу.</x:v>
      </x:c>
      <x:c r="K160" s="9" t="str">
        <x:v>Что подтверждено собственным наблюдением, какой неверный контроль это ограничивает и смогу ли я повторить шаг без ИИ?</x:v>
      </x:c>
      <x:c r="L160" s="9" t="str">
        <x:v>2027-03-09_R110_note.md: вход, версия, наблюдение, контроль, подсказки и следующий шаг</x:v>
      </x:c>
      <x:c r="M160" s="12"/>
      <x:c r="N160" s="12"/>
      <x:c r="O160" s="12"/>
      <x:c r="P160" s="14"/>
      <x:c r="Q160" s="9" t="str">
        <x:v>R110 Can you see through the star; шаг 2/6
https://ringzer0ctf.com/challenges/110
Вместо блока, один вариант: HVA01; карточки в документе 12.</x:v>
      </x:c>
      <x:c r="R160" s="10" t="d">
        <x:v>2027-03-10T00:00:00.000Z</x:v>
      </x:c>
      <x:c r="S160" s="10" t="d">
        <x:v>2027-03-16T00:00:00.000Z</x:v>
      </x:c>
      <x:c r="T160" s="10" t="d">
        <x:v>2027-04-06T00:00:00.000Z</x:v>
      </x:c>
    </x:row>
    <x:row r="161" ht="88" hidden="0" customHeight="1">
      <x:c r="A161" s="10" t="d">
        <x:v>2027-03-10T00:00:00.000Z</x:v>
      </x:c>
      <x:c r="B161" s="9" t="str">
        <x:v>ср</x:v>
      </x:c>
      <x:c r="C161" s="9" t="n">
        <x:v>28</x:v>
      </x:c>
      <x:c r="D161" s="9" t="str">
        <x:v>изучение</x:v>
      </x:c>
      <x:c r="E161" s="9" t="str">
        <x:v>Can you see through the star — шаг 3 из 6</x:v>
      </x:c>
      <x:c r="F161" s="9" t="str">
        <x:v>Изучить и проверить: Статическая модель программы; ссылки на данные; границы вывода декомпилятора.</x:v>
      </x:c>
      <x:c r="G161" s="9" t="str">
        <x:v>Восстанови параметры, ветви и результат одной функции. Сверь псевдокод с листингом и пометь неизвестное. При недоступности — локальная замена из карточки R110 в документе 12.
Локальная замена: В Ghidra восстанови одну функцию собственной сборки native_lab.c. Сверь строки, ссылки, листинг и два входа с исходным кодом; неподтверждённый запуск пометь отдельно. Продолжай один и тот же локальный пример по шагу текущего дня.</x:v>
      </x:c>
      <x:c r="H161" s="9" t="str">
        <x:v>Ghidra, file, подходящий отладчик в VM</x:v>
      </x:c>
      <x:c r="I161" s="9" t="str">
        <x:v>RU30 S0mbre Разбор учебного crackme в Ghidra — Проект анализ листинг и декомпилятор
https://habr.com/ru/articles/447450/
RU27 GNU Отладка с помощью GDB русский перевод — Сверка наблюдения в отладчике
https://www.opennet.ru/docs/RUS/gdb/</x:v>
      </x:c>
      <x:c r="J161" s="9" t="str">
        <x:v>R11; Ghidra; типы указателей и проверка ветвей. Архитектуру и формат определять по файлу.</x:v>
      </x:c>
      <x:c r="K161" s="9" t="str">
        <x:v>Что подтверждено собственным наблюдением, какой неверный контроль это ограничивает и смогу ли я повторить шаг без ИИ?</x:v>
      </x:c>
      <x:c r="L161" s="9" t="str">
        <x:v>2027-03-10_R110_note.md: вход, версия, наблюдение, контроль, подсказки и следующий шаг</x:v>
      </x:c>
      <x:c r="M161" s="12"/>
      <x:c r="N161" s="12"/>
      <x:c r="O161" s="12"/>
      <x:c r="P161" s="14"/>
      <x:c r="Q161" s="9" t="str">
        <x:v>R110 Can you see through the star; шаг 3/6
https://ringzer0ctf.com/challenges/110
Вместо блока, один вариант: HVA01; карточки в документе 12.</x:v>
      </x:c>
      <x:c r="R161" s="10" t="d">
        <x:v>2027-03-11T00:00:00.000Z</x:v>
      </x:c>
      <x:c r="S161" s="10" t="d">
        <x:v>2027-03-17T00:00:00.000Z</x:v>
      </x:c>
      <x:c r="T161" s="10" t="d">
        <x:v>2027-04-07T00:00:00.000Z</x:v>
      </x:c>
    </x:row>
    <x:row r="162" ht="88" hidden="0" customHeight="1">
      <x:c r="A162" s="10" t="d">
        <x:v>2027-03-11T00:00:00.000Z</x:v>
      </x:c>
      <x:c r="B162" s="9" t="str">
        <x:v>чт</x:v>
      </x:c>
      <x:c r="C162" s="9" t="n">
        <x:v>28</x:v>
      </x:c>
      <x:c r="D162" s="9" t="str">
        <x:v>изучение</x:v>
      </x:c>
      <x:c r="E162" s="9" t="str">
        <x:v>Can you see through the star — шаг 4 из 6</x:v>
      </x:c>
      <x:c r="F162" s="9" t="str">
        <x:v>Изучить и проверить: Статическая модель программы; ссылки на данные; границы вывода декомпилятора.</x:v>
      </x:c>
      <x:c r="G162" s="9" t="str">
        <x:v>Проверь гипотезу о типе или условии по выданным входам. При доступном запуске сопоставь её с наблюдением в отладчике. При недоступности — локальная замена из карточки R110 в документе 12.
Локальная замена: В Ghidra восстанови одну функцию собственной сборки native_lab.c. Сверь строки, ссылки, листинг и два входа с исходным кодом; неподтверждённый запуск пометь отдельно. Продолжай один и тот же локальный пример по шагу текущего дня.</x:v>
      </x:c>
      <x:c r="H162" s="9" t="str">
        <x:v>Ghidra, file, подходящий отладчик в VM</x:v>
      </x:c>
      <x:c r="I162" s="9" t="str">
        <x:v>RU30 S0mbre Разбор учебного crackme в Ghidra — Проект анализ листинг и декомпилятор
https://habr.com/ru/articles/447450/
RU27 GNU Отладка с помощью GDB русский перевод — Сверка наблюдения в отладчике
https://www.opennet.ru/docs/RUS/gdb/</x:v>
      </x:c>
      <x:c r="J162" s="9" t="str">
        <x:v>R11; Ghidra; типы указателей и проверка ветвей. Архитектуру и формат определять по файлу.</x:v>
      </x:c>
      <x:c r="K162" s="9" t="str">
        <x:v>Что подтверждено собственным наблюдением, какой неверный контроль это ограничивает и смогу ли я повторить шаг без ИИ?</x:v>
      </x:c>
      <x:c r="L162" s="9" t="str">
        <x:v>2027-03-11_R110_note.md: вход, версия, наблюдение, контроль, подсказки и следующий шаг</x:v>
      </x:c>
      <x:c r="M162" s="12"/>
      <x:c r="N162" s="12"/>
      <x:c r="O162" s="12"/>
      <x:c r="P162" s="14"/>
      <x:c r="Q162" s="9" t="str">
        <x:v>R110 Can you see through the star; шаг 4/6
https://ringzer0ctf.com/challenges/110
Вместо блока, один вариант: HVA01; карточки в документе 12.</x:v>
      </x:c>
      <x:c r="R162" s="10" t="d">
        <x:v>2027-03-12T00:00:00.000Z</x:v>
      </x:c>
      <x:c r="S162" s="10" t="d">
        <x:v>2027-03-18T00:00:00.000Z</x:v>
      </x:c>
      <x:c r="T162" s="10" t="d">
        <x:v>2027-04-08T00:00:00.000Z</x:v>
      </x:c>
    </x:row>
    <x:row r="163" ht="88" hidden="0" customHeight="1">
      <x:c r="A163" s="10" t="d">
        <x:v>2027-03-12T00:00:00.000Z</x:v>
      </x:c>
      <x:c r="B163" s="9" t="str">
        <x:v>пт</x:v>
      </x:c>
      <x:c r="C163" s="9" t="n">
        <x:v>28</x:v>
      </x:c>
      <x:c r="D163" s="9" t="str">
        <x:v>изучение</x:v>
      </x:c>
      <x:c r="E163" s="9" t="str">
        <x:v>Can you see through the star — шаг 5 из 6</x:v>
      </x:c>
      <x:c r="F163" s="9" t="str">
        <x:v>Изучить и проверить: Статическая модель программы; ссылки на данные; границы вывода декомпилятора.</x:v>
      </x:c>
      <x:c r="G163" s="9" t="str">
        <x:v>Сравни правильный и намеренно неверный случай в рамках условия. Уточни пределы статического вывода. При недоступности — локальная замена из карточки R110 в документе 12.
Локальная замена: В Ghidra восстанови одну функцию собственной сборки native_lab.c. Сверь строки, ссылки, листинг и два входа с исходным кодом; неподтверждённый запуск пометь отдельно. Продолжай один и тот же локальный пример по шагу текущего дня.</x:v>
      </x:c>
      <x:c r="H163" s="9" t="str">
        <x:v>Ghidra, file, подходящий отладчик в VM</x:v>
      </x:c>
      <x:c r="I163" s="9" t="str">
        <x:v>RU30 S0mbre Разбор учебного crackme в Ghidra — Проект анализ листинг и декомпилятор
https://habr.com/ru/articles/447450/
RU27 GNU Отладка с помощью GDB русский перевод — Сверка наблюдения в отладчике
https://www.opennet.ru/docs/RUS/gdb/</x:v>
      </x:c>
      <x:c r="J163" s="9" t="str">
        <x:v>R11; Ghidra; типы указателей и проверка ветвей. Архитектуру и формат определять по файлу.</x:v>
      </x:c>
      <x:c r="K163" s="9" t="str">
        <x:v>Что подтверждено собственным наблюдением, какой неверный контроль это ограничивает и смогу ли я повторить шаг без ИИ?</x:v>
      </x:c>
      <x:c r="L163" s="9" t="str">
        <x:v>2027-03-12_R110_note.md: вход, версия, наблюдение, контроль, подсказки и следующий шаг</x:v>
      </x:c>
      <x:c r="M163" s="12"/>
      <x:c r="N163" s="12"/>
      <x:c r="O163" s="12"/>
      <x:c r="P163" s="14"/>
      <x:c r="Q163" s="9" t="str">
        <x:v>R110 Can you see through the star; шаг 5/6
https://ringzer0ctf.com/challenges/110
Вместо блока, один вариант: HVA01; карточки в документе 12.</x:v>
      </x:c>
      <x:c r="R163" s="10" t="d">
        <x:v>2027-03-13T00:00:00.000Z</x:v>
      </x:c>
      <x:c r="S163" s="10" t="d">
        <x:v>2027-03-19T00:00:00.000Z</x:v>
      </x:c>
      <x:c r="T163" s="10" t="d">
        <x:v>2027-04-09T00:00:00.000Z</x:v>
      </x:c>
    </x:row>
    <x:row r="164" ht="88" hidden="0" customHeight="1">
      <x:c r="A164" s="10" t="d">
        <x:v>2027-03-13T00:00:00.000Z</x:v>
      </x:c>
      <x:c r="B164" s="9" t="str">
        <x:v>сб</x:v>
      </x:c>
      <x:c r="C164" s="9" t="n">
        <x:v>28</x:v>
      </x:c>
      <x:c r="D164" s="9" t="str">
        <x:v>повторение</x:v>
      </x:c>
      <x:c r="E164" s="9" t="str">
        <x:v>Can you see through the star — шаг 6 из 6</x:v>
      </x:c>
      <x:c r="F164" s="9" t="str">
        <x:v>Повторить и применить: Статическая модель программы; ссылки на данные; границы вывода декомпилятора.</x:v>
      </x:c>
      <x:c r="G164" s="9" t="str">
        <x:v>Заверши таск. Оформи функцию, два контроля и ограничения анализа. Отсутствующий запуск укажи явно, без фиктивного подтверждения. При недоступности — локальная замена из карточки R110 в документе 12.
Локальная замена: В Ghidra восстанови одну функцию собственной сборки native_lab.c. Сверь строки, ссылки, листинг и два входа с исходным кодом; неподтверждённый запуск пометь отдельно. Продолжай один и тот же локальный пример по шагу текущего дня.</x:v>
      </x:c>
      <x:c r="H164" s="9" t="str">
        <x:v>Ghidra, file, подходящий отладчик в VM</x:v>
      </x:c>
      <x:c r="I164" s="9" t="str">
        <x:v>RU30 S0mbre Разбор учебного crackme в Ghidra — Проект анализ листинг и декомпилятор
https://habr.com/ru/articles/447450/
RU27 GNU Отладка с помощью GDB русский перевод — Сверка наблюдения в отладчике
https://www.opennet.ru/docs/RUS/gdb/</x:v>
      </x:c>
      <x:c r="J164" s="9" t="str">
        <x:v>R11; Ghidra; типы указателей и проверка ветвей. Архитектуру и формат определять по файлу.</x:v>
      </x:c>
      <x:c r="K164" s="9" t="str">
        <x:v>Что подтверждено собственным наблюдением, какой неверный контроль это ограничивает и смогу ли я повторить шаг без ИИ?</x:v>
      </x:c>
      <x:c r="L164" s="9" t="str">
        <x:v>2027-03-13_R110_note.md: вход, версия, наблюдение, контроль, подсказки и следующий шаг</x:v>
      </x:c>
      <x:c r="M164" s="12"/>
      <x:c r="N164" s="12"/>
      <x:c r="O164" s="12"/>
      <x:c r="P164" s="14"/>
      <x:c r="Q164" s="9" t="str">
        <x:v>R110 Can you see through the star; шаг 6/6
https://ringzer0ctf.com/challenges/110
Вместо блока, один вариант: HVA01; карточки в документе 12.</x:v>
      </x:c>
      <x:c r="R164" s="10" t="d">
        <x:v>2027-03-15T00:00:00.000Z</x:v>
      </x:c>
      <x:c r="S164" s="10" t="d">
        <x:v>2027-03-20T00:00:00.000Z</x:v>
      </x:c>
      <x:c r="T164" s="10" t="d">
        <x:v>2027-04-10T00:00:00.000Z</x:v>
      </x:c>
    </x:row>
    <x:row r="165" ht="19" hidden="0" customHeight="1">
      <x:c r="A165" s="10" t="d">
        <x:v>2027-03-14T00:00:00.000Z</x:v>
      </x:c>
      <x:c r="B165" s="9" t="str">
        <x:v>вс</x:v>
      </x:c>
      <x:c r="C165" s="9" t="n">
        <x:v>28</x:v>
      </x:c>
      <x:c r="D165" s="9" t="str">
        <x:v>пауза</x:v>
      </x:c>
      <x:c r="E165" s="9" t="str">
        <x:v>Учебная пауза и восстановление</x:v>
      </x:c>
      <x:c r="F165" s="9" t="str">
        <x:v>Новых учебных задач нет.</x:v>
      </x:c>
      <x:c r="G165" s="9" t="str">
        <x:v>Практика не назначена</x:v>
      </x:c>
      <x:c r="H165" s="9" t="str">
        <x:v>Не требуется</x:v>
      </x:c>
      <x:c r="I165" s="9" t="str">
        <x:v>Чтение не назначено</x:v>
      </x:c>
      <x:c r="J165" s="9" t="str">
        <x:v>Учебная пауза; допуск и практику сегодня не проверять.</x:v>
      </x:c>
      <x:c r="K165" s="9" t="str">
        <x:v>Учебного зачёта сегодня нет.</x:v>
      </x:c>
      <x:c r="L165" s="9" t="str">
        <x:v>Учебного артефакта нет</x:v>
      </x:c>
      <x:c r="M165" s="12"/>
      <x:c r="N165" s="12"/>
      <x:c r="O165" s="12"/>
      <x:c r="P165" s="14"/>
      <x:c r="Q165" s="9" t="str">
        <x:v>пауза</x:v>
      </x:c>
      <x:c r="R165" s="10"/>
      <x:c r="S165" s="10"/>
      <x:c r="T165" s="10"/>
    </x:row>
    <x:row r="166" ht="100" hidden="0" customHeight="1">
      <x:c r="A166" s="10" t="d">
        <x:v>2027-03-15T00:00:00.000Z</x:v>
      </x:c>
      <x:c r="B166" s="9" t="str">
        <x:v>пн</x:v>
      </x:c>
      <x:c r="C166" s="9" t="n">
        <x:v>29</x:v>
      </x:c>
      <x:c r="D166" s="9" t="str">
        <x:v>изучение</x:v>
      </x:c>
      <x:c r="E166" s="9" t="str">
        <x:v>Easy encryptor — шаг 1 из 3</x:v>
      </x:c>
      <x:c r="F166" s="9" t="str">
        <x:v>Изучить и проверить: Статический и динамический анализ encryptor; байтовое преобразование; обратимость и контроль.</x:v>
      </x:c>
      <x:c r="G166" s="9" t="str">
        <x:v>Открой Easy encryptor, сохрани хэш выданного архива и определи формат. Найди вход, выход и одну гипотезу преобразования без запуска на основной системе. При недоступности — локальная замена из карточки C02 в документе 12.
Локальная замена: На собственном byte-transform примере сравни исходный код, trace и результат двух входов; проверь обратное преобразование и неправильный параметр.</x:v>
      </x:c>
      <x:c r="H166" s="9" t="str">
        <x:v>file, Ghidra, отладчик, Python</x:v>
      </x:c>
      <x:c r="I166" s="9" t="str">
        <x:v>RU54 Crypto Kids 2.0: лекции и задачи — Симметричное шифрование: stream
https://crypto-kids20.forkbomb.ru/tasks
RU01 METANIT Python — Байты и побитовые операции
https://metanit.com/python/tutorial/
RU27 GNU Отладка с помощью GDB русский перевод — Точки останова, регистры и сравнение двух запусков
https://www.opennet.ru/docs/RUS/gdb/</x:v>
      </x:c>
      <x:c r="J166" s="9" t="str">
        <x:v>Закрыты C/ASM/GDB и статический reverse; выданный архив запускается только в своей VM.</x:v>
      </x:c>
      <x:c r="K166" s="9" t="str">
        <x:v>Что подтверждено собственным наблюдением, какой неверный контроль это ограничивает и смогу ли я повторить шаг без ИИ?</x:v>
      </x:c>
      <x:c r="L166" s="9" t="str">
        <x:v>2027-03-15_C02_note.md: вход, версия, наблюдение, контроль, подсказки и следующий шаг</x:v>
      </x:c>
      <x:c r="M166" s="12"/>
      <x:c r="N166" s="12"/>
      <x:c r="O166" s="12"/>
      <x:c r="P166" s="14"/>
      <x:c r="Q166" s="9" t="str">
        <x:v>C02 Easy encryptor; шаг 1/3
https://crypto-kids20.forkbomb.ru/tasks/crysym_cycle_xor
Вместо блока, один вариант: CA06, CA07; карточки в документе 12.</x:v>
      </x:c>
      <x:c r="R166" s="10" t="d">
        <x:v>2027-03-16T00:00:00.000Z</x:v>
      </x:c>
      <x:c r="S166" s="10" t="d">
        <x:v>2027-03-22T00:00:00.000Z</x:v>
      </x:c>
      <x:c r="T166" s="10" t="d">
        <x:v>2027-04-12T00:00:00.000Z</x:v>
      </x:c>
    </x:row>
    <x:row r="167" ht="100" hidden="0" customHeight="1">
      <x:c r="A167" s="10" t="d">
        <x:v>2027-03-16T00:00:00.000Z</x:v>
      </x:c>
      <x:c r="B167" s="9" t="str">
        <x:v>вт</x:v>
      </x:c>
      <x:c r="C167" s="9" t="n">
        <x:v>29</x:v>
      </x:c>
      <x:c r="D167" s="9" t="str">
        <x:v>изучение</x:v>
      </x:c>
      <x:c r="E167" s="9" t="str">
        <x:v>Easy encryptor — шаг 2 из 3</x:v>
      </x:c>
      <x:c r="F167" s="9" t="str">
        <x:v>Изучить и проверить: Статический и динамический анализ encryptor; байтовое преобразование; обратимость и контроль.</x:v>
      </x:c>
      <x:c r="G167" s="9" t="str">
        <x:v>Проверь гипотезу в VM на двух собственных входах. Свяжи trace с кодом и опиши обратимость, не полагаясь на название файла. При недоступности — локальная замена из карточки C02 в документе 12.
Локальная замена: На собственном byte-transform примере сравни исходный код, trace и результат двух входов; проверь обратное преобразование и неправильный параметр.</x:v>
      </x:c>
      <x:c r="H167" s="9" t="str">
        <x:v>file, Ghidra, отладчик, Python</x:v>
      </x:c>
      <x:c r="I167" s="9" t="str">
        <x:v>RU54 Crypto Kids 2.0: лекции и задачи — Симметричное шифрование: stream
https://crypto-kids20.forkbomb.ru/tasks
RU01 METANIT Python — Байты и побитовые операции
https://metanit.com/python/tutorial/
RU27 GNU Отладка с помощью GDB русский перевод — Точки останова, регистры и сравнение двух запусков
https://www.opennet.ru/docs/RUS/gdb/</x:v>
      </x:c>
      <x:c r="J167" s="9" t="str">
        <x:v>Закрыты C/ASM/GDB и статический reverse; выданный архив запускается только в своей VM.</x:v>
      </x:c>
      <x:c r="K167" s="9" t="str">
        <x:v>Что подтверждено собственным наблюдением, какой неверный контроль это ограничивает и смогу ли я повторить шаг без ИИ?</x:v>
      </x:c>
      <x:c r="L167" s="9" t="str">
        <x:v>2027-03-16_C02_note.md: вход, версия, наблюдение, контроль, подсказки и следующий шаг</x:v>
      </x:c>
      <x:c r="M167" s="12"/>
      <x:c r="N167" s="12"/>
      <x:c r="O167" s="12"/>
      <x:c r="P167" s="14"/>
      <x:c r="Q167" s="9" t="str">
        <x:v>C02 Easy encryptor; шаг 2/3
https://crypto-kids20.forkbomb.ru/tasks/crysym_cycle_xor
Вместо блока, один вариант: CA06, CA07; карточки в документе 12.</x:v>
      </x:c>
      <x:c r="R167" s="10" t="d">
        <x:v>2027-03-17T00:00:00.000Z</x:v>
      </x:c>
      <x:c r="S167" s="10" t="d">
        <x:v>2027-03-23T00:00:00.000Z</x:v>
      </x:c>
      <x:c r="T167" s="10" t="d">
        <x:v>2027-04-13T00:00:00.000Z</x:v>
      </x:c>
    </x:row>
    <x:row r="168" ht="100" hidden="0" customHeight="1">
      <x:c r="A168" s="10" t="d">
        <x:v>2027-03-17T00:00:00.000Z</x:v>
      </x:c>
      <x:c r="B168" s="9" t="str">
        <x:v>ср</x:v>
      </x:c>
      <x:c r="C168" s="9" t="n">
        <x:v>29</x:v>
      </x:c>
      <x:c r="D168" s="9" t="str">
        <x:v>изучение</x:v>
      </x:c>
      <x:c r="E168" s="9" t="str">
        <x:v>Easy encryptor — шаг 3 из 3</x:v>
      </x:c>
      <x:c r="F168" s="9" t="str">
        <x:v>Изучить и проверить: Статический и динамический анализ encryptor; байтовое преобразование; обратимость и контроль.</x:v>
      </x:c>
      <x:c r="G168" s="9" t="str">
        <x:v>Восстанови нужное преобразование и проверь обратный ход. Сохрани принятый результат или первый недоказанный шаг; не добавляй вторую криптозадачу. При недоступности — локальная замена из карточки C02 в документе 12.
Локальная замена: На собственном byte-transform примере сравни исходный код, trace и результат двух входов; проверь обратное преобразование и неправильный параметр.</x:v>
      </x:c>
      <x:c r="H168" s="9" t="str">
        <x:v>file, Ghidra, отладчик, Python</x:v>
      </x:c>
      <x:c r="I168" s="9" t="str">
        <x:v>RU54 Crypto Kids 2.0: лекции и задачи — Симметричное шифрование: stream
https://crypto-kids20.forkbomb.ru/tasks
RU01 METANIT Python — Байты и побитовые операции
https://metanit.com/python/tutorial/
RU27 GNU Отладка с помощью GDB русский перевод — Точки останова, регистры и сравнение двух запусков
https://www.opennet.ru/docs/RUS/gdb/</x:v>
      </x:c>
      <x:c r="J168" s="9" t="str">
        <x:v>Закрыты C/ASM/GDB и статический reverse; выданный архив запускается только в своей VM.</x:v>
      </x:c>
      <x:c r="K168" s="9" t="str">
        <x:v>Что подтверждено собственным наблюдением, какой неверный контроль это ограничивает и смогу ли я повторить шаг без ИИ?</x:v>
      </x:c>
      <x:c r="L168" s="9" t="str">
        <x:v>2027-03-17_C02_note.md: вход, версия, наблюдение, контроль, подсказки и следующий шаг</x:v>
      </x:c>
      <x:c r="M168" s="12"/>
      <x:c r="N168" s="12"/>
      <x:c r="O168" s="12"/>
      <x:c r="P168" s="14"/>
      <x:c r="Q168" s="9" t="str">
        <x:v>C02 Easy encryptor; шаг 3/3
https://crypto-kids20.forkbomb.ru/tasks/crysym_cycle_xor
Вместо блока, один вариант: CA06, CA07; карточки в документе 12.</x:v>
      </x:c>
      <x:c r="R168" s="10" t="d">
        <x:v>2027-03-18T00:00:00.000Z</x:v>
      </x:c>
      <x:c r="S168" s="10" t="d">
        <x:v>2027-03-24T00:00:00.000Z</x:v>
      </x:c>
      <x:c r="T168" s="10" t="d">
        <x:v>2027-04-14T00:00:00.000Z</x:v>
      </x:c>
    </x:row>
    <x:row r="169" ht="112" hidden="0" customHeight="1">
      <x:c r="A169" s="10" t="d">
        <x:v>2027-03-18T00:00:00.000Z</x:v>
      </x:c>
      <x:c r="B169" s="9" t="str">
        <x:v>чт</x:v>
      </x:c>
      <x:c r="C169" s="9" t="n">
        <x:v>29</x:v>
      </x:c>
      <x:c r="D169" s="9" t="str">
        <x:v>изучение</x:v>
      </x:c>
      <x:c r="E169" s="9" t="str">
        <x:v>Friendly — шаг 1 из 3</x:v>
      </x:c>
      <x:c r="F169" s="9" t="str">
        <x:v>Изучить и проверить: Scope и сервисы локальной VM; процесс и контекст доступа; динамическое наблюдение своего ELF.</x:v>
      </x:c>
      <x:c r="G169" s="9" t="str">
        <x:v>Скачай Friendly по официальной ссылке и импортируй в отдельную lab-сеть без моста в сеть общежития. Сохрани хэш архива, snapshot, адреса двух своих VM и карту доступных сервисов. При недоступности — локальная замена из карточки HV01 в документе 12.
Локальная замена: На своих двух VM продолжай прежнюю карту сервисов и один опыт native_lab.c. Сопоставь сокет, процесс, identity и два входа. Без образа Friendly не ставь отметку прохождения машины.</x:v>
      </x:c>
      <x:c r="H169" s="9" t="str">
        <x:v>Гипервизор, Nmap, Linux VM, GDB</x:v>
      </x:c>
      <x:c r="I169" s="9" t="str">
        <x:v>RU10 Nmap Справочное руководство на русском — Состояние порта и определение сервиса
https://nmap.org/man/ru/
RU03 METANIT Командная строка Linux — Процессы, пользователи и права
https://metanit.com/os/linux/
RU27 GNU Отладка с помощью GDB русский перевод — Точка останова и наблюдение состояния
https://www.opennet.ru/docs/RUS/gdb/</x:v>
      </x:c>
      <x:c r="J169" s="9" t="str">
        <x:v>HTTP, сеть, Linux-права и Easy encryptor; подготовлена отдельная lab-сеть. Если предпосылки не закрыты, продолжать предыдущий пример.</x:v>
      </x:c>
      <x:c r="K169" s="9" t="str">
        <x:v>Что подтверждено собственным наблюдением, какой неверный контроль это ограничивает и смогу ли я повторить шаг без ИИ?</x:v>
      </x:c>
      <x:c r="L169" s="9" t="str">
        <x:v>2027-03-18_HV01_note.md: наблюдение, контроль, подсказка, статус VM и следующий шаг</x:v>
      </x:c>
      <x:c r="M169" s="12"/>
      <x:c r="N169" s="12"/>
      <x:c r="O169" s="12"/>
      <x:c r="P169" s="14"/>
      <x:c r="Q169" s="9" t="str">
        <x:v>HV01 Friendly; шаг 1/3
https://downloads.hackmyvm.eu/friendly.zip</x:v>
      </x:c>
      <x:c r="R169" s="10" t="d">
        <x:v>2027-03-19T00:00:00.000Z</x:v>
      </x:c>
      <x:c r="S169" s="10" t="d">
        <x:v>2027-03-25T00:00:00.000Z</x:v>
      </x:c>
      <x:c r="T169" s="10" t="d">
        <x:v>2027-04-15T00:00:00.000Z</x:v>
      </x:c>
    </x:row>
    <x:row r="170" ht="112" hidden="0" customHeight="1">
      <x:c r="A170" s="10" t="d">
        <x:v>2027-03-19T00:00:00.000Z</x:v>
      </x:c>
      <x:c r="B170" s="9" t="str">
        <x:v>пт</x:v>
      </x:c>
      <x:c r="C170" s="9" t="n">
        <x:v>29</x:v>
      </x:c>
      <x:c r="D170" s="9" t="str">
        <x:v>изучение</x:v>
      </x:c>
      <x:c r="E170" s="9" t="str">
        <x:v>Friendly — шаг 2 из 3</x:v>
      </x:c>
      <x:c r="F170" s="9" t="str">
        <x:v>Изучить и проверить: Scope и сервисы локальной VM; процесс и контекст доступа; динамическое наблюдение своего ELF.</x:v>
      </x:c>
      <x:c r="G170" s="9" t="str">
        <x:v>На Friendly проверь один разрешённый переход из найденной поверхности. Сохрани исходный контекст, предпосылку и наблюдение; если путь не найден, запиши проверенную гипотезу и препятствие. При недоступности — локальная замена из карточки HV01 в документе 12.
Локальная замена: На своих двух VM продолжай прежнюю карту сервисов и один опыт native_lab.c. Сопоставь сокет, процесс, identity и два входа. Без образа Friendly не ставь отметку прохождения машины.</x:v>
      </x:c>
      <x:c r="H170" s="9" t="str">
        <x:v>Гипервизор, Nmap, Linux VM, GDB</x:v>
      </x:c>
      <x:c r="I170" s="9" t="str">
        <x:v>RU10 Nmap Справочное руководство на русском — Состояние порта и определение сервиса
https://nmap.org/man/ru/
RU03 METANIT Командная строка Linux — Процессы, пользователи и права
https://metanit.com/os/linux/
RU27 GNU Отладка с помощью GDB русский перевод — Точка останова и наблюдение состояния
https://www.opennet.ru/docs/RUS/gdb/</x:v>
      </x:c>
      <x:c r="J170" s="9" t="str">
        <x:v>HTTP, сеть, Linux-права и Easy encryptor; подготовлена отдельная lab-сеть. Если предпосылки не закрыты, продолжать предыдущий пример.</x:v>
      </x:c>
      <x:c r="K170" s="9" t="str">
        <x:v>Что подтверждено собственным наблюдением, какой неверный контроль это ограничивает и смогу ли я повторить шаг без ИИ?</x:v>
      </x:c>
      <x:c r="L170" s="9" t="str">
        <x:v>2027-03-19_HV01_note.md: наблюдение, контроль, подсказка, статус VM и следующий шаг</x:v>
      </x:c>
      <x:c r="M170" s="12"/>
      <x:c r="N170" s="12"/>
      <x:c r="O170" s="12"/>
      <x:c r="P170" s="14"/>
      <x:c r="Q170" s="9" t="str">
        <x:v>HV01 Friendly; шаг 2/3
https://downloads.hackmyvm.eu/friendly.zip</x:v>
      </x:c>
      <x:c r="R170" s="10" t="d">
        <x:v>2027-03-20T00:00:00.000Z</x:v>
      </x:c>
      <x:c r="S170" s="10" t="d">
        <x:v>2027-03-26T00:00:00.000Z</x:v>
      </x:c>
      <x:c r="T170" s="10" t="d">
        <x:v>2027-04-16T00:00:00.000Z</x:v>
      </x:c>
    </x:row>
    <x:row r="171" ht="112" hidden="0" customHeight="1">
      <x:c r="A171" s="10" t="d">
        <x:v>2027-03-20T00:00:00.000Z</x:v>
      </x:c>
      <x:c r="B171" s="9" t="str">
        <x:v>сб</x:v>
      </x:c>
      <x:c r="C171" s="9" t="n">
        <x:v>29</x:v>
      </x:c>
      <x:c r="D171" s="9" t="str">
        <x:v>повторение</x:v>
      </x:c>
      <x:c r="E171" s="9" t="str">
        <x:v>Friendly — шаг 3 из 3</x:v>
      </x:c>
      <x:c r="F171" s="9" t="str">
        <x:v>Повторить и проверить: Scope и сервисы локальной VM; процесс и контекст доступа; динамическое наблюдение своего ELF.</x:v>
      </x:c>
      <x:c r="G171" s="9" t="str">
        <x:v>В уже подготовленном собственном native_lab.c повтори одно динамическое наблюдение с обычным и неверным входом. Сопоставь процесс, права и ветвь; Friendly отмечай завершённой только при фактическом прохождении. Это контроль текущего блока, новую VM не открывай. При недоступности — локальная замена из карточки HV01 в документе 12.
Локальная замена: На своих двух VM продолжай прежнюю карту сервисов и один опыт native_lab.c. Сопоставь сокет, процесс, identity и два входа. Без образа Friendly не ставь отметку прохождения машины.</x:v>
      </x:c>
      <x:c r="H171" s="9" t="str">
        <x:v>Гипервизор, Nmap, Linux VM, GDB</x:v>
      </x:c>
      <x:c r="I171" s="9" t="str">
        <x:v>RU10 Nmap Справочное руководство на русском — Состояние порта и определение сервиса
https://nmap.org/man/ru/
RU03 METANIT Командная строка Linux — Процессы, пользователи и права
https://metanit.com/os/linux/
RU27 GNU Отладка с помощью GDB русский перевод — Точка останова и наблюдение состояния
https://www.opennet.ru/docs/RUS/gdb/</x:v>
      </x:c>
      <x:c r="J171" s="9" t="str">
        <x:v>HTTP, сеть, Linux-права и Easy encryptor; подготовлена отдельная lab-сеть. Если предпосылки не закрыты, продолжать предыдущий пример.</x:v>
      </x:c>
      <x:c r="K171" s="9" t="str">
        <x:v>Что подтверждено собственным наблюдением, какой неверный контроль это ограничивает и смогу ли я повторить шаг без ИИ?</x:v>
      </x:c>
      <x:c r="L171" s="9" t="str">
        <x:v>2027-03-20_HV01_note.md: наблюдение, контроль, подсказка, статус VM и следующий шаг</x:v>
      </x:c>
      <x:c r="M171" s="12"/>
      <x:c r="N171" s="12"/>
      <x:c r="O171" s="12"/>
      <x:c r="P171" s="14"/>
      <x:c r="Q171" s="9" t="str">
        <x:v>HV01 Friendly; шаг 3/3
https://downloads.hackmyvm.eu/friendly.zip</x:v>
      </x:c>
      <x:c r="R171" s="10" t="d">
        <x:v>2027-03-21T00:00:00.000Z</x:v>
      </x:c>
      <x:c r="S171" s="10" t="d">
        <x:v>2027-03-27T00:00:00.000Z</x:v>
      </x:c>
      <x:c r="T171" s="10" t="d">
        <x:v>2027-04-17T00:00:00.000Z</x:v>
      </x:c>
    </x:row>
    <x:row r="172" ht="28" hidden="0" customHeight="1">
      <x:c r="A172" s="10" t="d">
        <x:v>2027-03-21T00:00:00.000Z</x:v>
      </x:c>
      <x:c r="B172" s="9" t="str">
        <x:v>вс</x:v>
      </x:c>
      <x:c r="C172" s="9" t="n">
        <x:v>29</x:v>
      </x:c>
      <x:c r="D172" s="9" t="str">
        <x:v>повторение</x:v>
      </x:c>
      <x:c r="E172" s="9" t="str">
        <x:v>Повторение Поведение программы и непроверенные ветви</x:v>
      </x:c>
      <x:c r="F172" s="9" t="str">
        <x:v>Вспомнить Условия запуска и объяснить один отрицательный контроль по готовой заметке.</x:v>
      </x:c>
      <x:c r="G172" s="9" t="str">
        <x:v>Сверить ответ с собственной записью. Новую лабораторию не открывать.</x:v>
      </x:c>
      <x:c r="H172" s="9" t="str">
        <x:v>Linux-VM, свой C/ELF, GDB/Ghidra</x:v>
      </x:c>
      <x:c r="I172" s="9" t="str">
        <x:v>Своя готовая заметка по теме; нового чтения нет</x:v>
      </x:c>
      <x:c r="J172" s="9" t="str">
        <x:v>предыдущий механизм–предыдущий механизм и C и память: объяснить процесс, байты, указатель, размер буфера и время жизни; собрать свой исправный C-пример.</x:v>
      </x:c>
      <x:c r="K172" s="9" t="str">
        <x:v>Какой факт недели лучше всего подтверждает освоенный механизм?</x:v>
      </x:c>
      <x:c r="L172" s="9" t="str">
        <x:v>Карточка памяти по готовой заметке</x:v>
      </x:c>
      <x:c r="M172" s="12"/>
      <x:c r="N172" s="12"/>
      <x:c r="O172" s="12"/>
      <x:c r="P172" s="14"/>
      <x:c r="Q172" s="9" t="str">
        <x:v>своя заметка</x:v>
      </x:c>
      <x:c r="R172" s="10" t="d">
        <x:v>2027-03-22T00:00:00.000Z</x:v>
      </x:c>
      <x:c r="S172" s="10" t="d">
        <x:v>2027-03-29T00:00:00.000Z</x:v>
      </x:c>
      <x:c r="T172" s="10" t="d">
        <x:v>2027-04-19T00:00:00.000Z</x:v>
      </x:c>
    </x:row>
    <x:row r="173" ht="100" hidden="0" customHeight="1">
      <x:c r="A173" s="10" t="d">
        <x:v>2027-03-22T00:00:00.000Z</x:v>
      </x:c>
      <x:c r="B173" s="9" t="str">
        <x:v>пн</x:v>
      </x:c>
      <x:c r="C173" s="9" t="n">
        <x:v>30</x:v>
      </x:c>
      <x:c r="D173" s="9" t="str">
        <x:v>изучение</x:v>
      </x:c>
      <x:c r="E173" s="9" t="str">
        <x:v>Reversteg — шаг 1 из 6</x:v>
      </x:c>
      <x:c r="F173" s="9" t="str">
        <x:v>Изучить и проверить: Triage образа и исследуемого файла; листинг и правило проверки входа; динамический контроль и границы вывода.</x:v>
      </x:c>
      <x:c r="G173" s="9" t="str">
        <x:v>Подготовь Reversteg в отдельной lab-сети. Сохрани хэш и snapshot, определи фактические ОС/архитектуру и поверхность. Выбери один проверяемый путь; готовое решение не открывай. При недоступности — локальная замена из карточки HV02 в документе 12.
Локальная замена: Продолжай прежний собственный crackme: длина и формат входа, сравнение, преобразование байтов и два контроля. Исследуй один и тот же файл; результат не выдавай за найденный механизм или флаг Reversteg.</x:v>
      </x:c>
      <x:c r="H173" s="9" t="str">
        <x:v>Гипервизор, Nmap, Ghidra, подходящий отладчик, Python</x:v>
      </x:c>
      <x:c r="I173" s="9" t="str">
        <x:v>RU30 S0mbre Разбор учебного crackme в Ghidra — Строки, ссылки и восстановление функции
https://habr.com/ru/articles/447450/
RU27 GNU Отладка с помощью GDB русский перевод — Ветвь, регистры и сравнение запусков
https://www.opennet.ru/docs/RUS/gdb/
RU02 METANIT Язык Си — Буферы, строки и обработка ввода
https://metanit.com/c/tutorial/</x:v>
      </x:c>
      <x:c r="J173" s="9" t="str">
        <x:v>C, ASM, GDB, Ghidra и контроль предыдущего блока. VM не считается crackme по названию; если нужный файл ещё недоступен, исследуется собственный crackme вместо нового опыта.</x:v>
      </x:c>
      <x:c r="K173" s="9" t="str">
        <x:v>Что подтверждено собственным наблюдением, какой неверный контроль это ограничивает и смогу ли я повторить шаг без ИИ?</x:v>
      </x:c>
      <x:c r="L173" s="9" t="str">
        <x:v>2027-03-22_HV02_note.md: наблюдение, контроль, подсказка, статус VM и следующий шаг</x:v>
      </x:c>
      <x:c r="M173" s="12"/>
      <x:c r="N173" s="12"/>
      <x:c r="O173" s="12"/>
      <x:c r="P173" s="14"/>
      <x:c r="Q173" s="9" t="str">
        <x:v>HV02 Reversteg; шаг 1/6
https://downloads.hackmyvm.eu/reversteg.zip
Вместо блока, один вариант: RA07, RA08; карточки в документе 12.</x:v>
      </x:c>
      <x:c r="R173" s="10" t="d">
        <x:v>2027-03-23T00:00:00.000Z</x:v>
      </x:c>
      <x:c r="S173" s="10" t="d">
        <x:v>2027-03-29T00:00:00.000Z</x:v>
      </x:c>
      <x:c r="T173" s="10" t="d">
        <x:v>2027-04-19T00:00:00.000Z</x:v>
      </x:c>
    </x:row>
    <x:row r="174" ht="100" hidden="0" customHeight="1">
      <x:c r="A174" s="10" t="d">
        <x:v>2027-03-23T00:00:00.000Z</x:v>
      </x:c>
      <x:c r="B174" s="9" t="str">
        <x:v>вт</x:v>
      </x:c>
      <x:c r="C174" s="9" t="n">
        <x:v>30</x:v>
      </x:c>
      <x:c r="D174" s="9" t="str">
        <x:v>изучение</x:v>
      </x:c>
      <x:c r="E174" s="9" t="str">
        <x:v>Reversteg — шаг 2 из 6</x:v>
      </x:c>
      <x:c r="F174" s="9" t="str">
        <x:v>Изучить и проверить: Triage образа и исследуемого файла; листинг и правило проверки входа; динамический контроль и границы вывода.</x:v>
      </x:c>
      <x:c r="G174" s="9" t="str">
        <x:v>Продолжи один путь в выданной VM. Если получил доступ к учебной программе, сохрани её законную копию и метаданные; иначе возьми свой прежний crackme для binary-контроля вместо дальнейшего перебора гипотез. При недоступности — локальная замена из карточки HV02 в документе 12.
Локальная замена: Продолжай прежний собственный crackme: длина и формат входа, сравнение, преобразование байтов и два контроля. Исследуй один и тот же файл; результат не выдавай за найденный механизм или флаг Reversteg.</x:v>
      </x:c>
      <x:c r="H174" s="9" t="str">
        <x:v>Гипервизор, Nmap, Ghidra, подходящий отладчик, Python</x:v>
      </x:c>
      <x:c r="I174" s="9" t="str">
        <x:v>RU30 S0mbre Разбор учебного crackme в Ghidra — Строки, ссылки и восстановление функции
https://habr.com/ru/articles/447450/
RU27 GNU Отладка с помощью GDB русский перевод — Ветвь, регистры и сравнение запусков
https://www.opennet.ru/docs/RUS/gdb/
RU02 METANIT Язык Си — Буферы, строки и обработка ввода
https://metanit.com/c/tutorial/</x:v>
      </x:c>
      <x:c r="J174" s="9" t="str">
        <x:v>C, ASM, GDB, Ghidra и контроль предыдущего блока. VM не считается crackme по названию; если нужный файл ещё недоступен, исследуется собственный crackme вместо нового опыта.</x:v>
      </x:c>
      <x:c r="K174" s="9" t="str">
        <x:v>Что подтверждено собственным наблюдением, какой неверный контроль это ограничивает и смогу ли я повторить шаг без ИИ?</x:v>
      </x:c>
      <x:c r="L174" s="9" t="str">
        <x:v>2027-03-23_HV02_note.md: наблюдение, контроль, подсказка, статус VM и следующий шаг</x:v>
      </x:c>
      <x:c r="M174" s="12"/>
      <x:c r="N174" s="12"/>
      <x:c r="O174" s="12"/>
      <x:c r="P174" s="14"/>
      <x:c r="Q174" s="9" t="str">
        <x:v>HV02 Reversteg; шаг 2/6
https://downloads.hackmyvm.eu/reversteg.zip
Вместо блока, один вариант: RA07, RA08; карточки в документе 12.</x:v>
      </x:c>
      <x:c r="R174" s="10" t="d">
        <x:v>2027-03-24T00:00:00.000Z</x:v>
      </x:c>
      <x:c r="S174" s="10" t="d">
        <x:v>2027-03-30T00:00:00.000Z</x:v>
      </x:c>
      <x:c r="T174" s="10" t="d">
        <x:v>2027-04-20T00:00:00.000Z</x:v>
      </x:c>
    </x:row>
    <x:row r="175" ht="100" hidden="0" customHeight="1">
      <x:c r="A175" s="10" t="d">
        <x:v>2027-03-24T00:00:00.000Z</x:v>
      </x:c>
      <x:c r="B175" s="9" t="str">
        <x:v>ср</x:v>
      </x:c>
      <x:c r="C175" s="9" t="n">
        <x:v>30</x:v>
      </x:c>
      <x:c r="D175" s="9" t="str">
        <x:v>изучение</x:v>
      </x:c>
      <x:c r="E175" s="9" t="str">
        <x:v>Reversteg — шаг 3 из 6</x:v>
      </x:c>
      <x:c r="F175" s="9" t="str">
        <x:v>Изучить и проверить: Triage образа и исследуемого файла; листинг и правило проверки входа; динамический контроль и границы вывода.</x:v>
      </x:c>
      <x:c r="G175" s="9" t="str">
        <x:v>На одном выбранном бинарнике найди функцию проверки, входы и возвращаемое значение. Свяжи листинг с собственной моделью; механизм не выводи из имени Reversteg. При недоступности — локальная замена из карточки HV02 в документе 12.
Локальная замена: Продолжай прежний собственный crackme: длина и формат входа, сравнение, преобразование байтов и два контроля. Исследуй один и тот же файл; результат не выдавай за найденный механизм или флаг Reversteg.</x:v>
      </x:c>
      <x:c r="H175" s="9" t="str">
        <x:v>Гипервизор, Nmap, Ghidra, подходящий отладчик, Python</x:v>
      </x:c>
      <x:c r="I175" s="9" t="str">
        <x:v>RU30 S0mbre Разбор учебного crackme в Ghidra — Строки, ссылки и восстановление функции
https://habr.com/ru/articles/447450/
RU27 GNU Отладка с помощью GDB русский перевод — Ветвь, регистры и сравнение запусков
https://www.opennet.ru/docs/RUS/gdb/
RU02 METANIT Язык Си — Буферы, строки и обработка ввода
https://metanit.com/c/tutorial/</x:v>
      </x:c>
      <x:c r="J175" s="9" t="str">
        <x:v>C, ASM, GDB, Ghidra и контроль предыдущего блока. VM не считается crackme по названию; если нужный файл ещё недоступен, исследуется собственный crackme вместо нового опыта.</x:v>
      </x:c>
      <x:c r="K175" s="9" t="str">
        <x:v>Что подтверждено собственным наблюдением, какой неверный контроль это ограничивает и смогу ли я повторить шаг без ИИ?</x:v>
      </x:c>
      <x:c r="L175" s="9" t="str">
        <x:v>2027-03-24_HV02_note.md: наблюдение, контроль, подсказка, статус VM и следующий шаг</x:v>
      </x:c>
      <x:c r="M175" s="12"/>
      <x:c r="N175" s="12"/>
      <x:c r="O175" s="12"/>
      <x:c r="P175" s="14"/>
      <x:c r="Q175" s="9" t="str">
        <x:v>HV02 Reversteg; шаг 3/6
https://downloads.hackmyvm.eu/reversteg.zip
Вместо блока, один вариант: RA07, RA08; карточки в документе 12.</x:v>
      </x:c>
      <x:c r="R175" s="10" t="d">
        <x:v>2027-03-25T00:00:00.000Z</x:v>
      </x:c>
      <x:c r="S175" s="10" t="d">
        <x:v>2027-03-31T00:00:00.000Z</x:v>
      </x:c>
      <x:c r="T175" s="10" t="d">
        <x:v>2027-04-21T00:00:00.000Z</x:v>
      </x:c>
    </x:row>
    <x:row r="176" ht="100" hidden="0" customHeight="1">
      <x:c r="A176" s="10" t="d">
        <x:v>2027-03-25T00:00:00.000Z</x:v>
      </x:c>
      <x:c r="B176" s="9" t="str">
        <x:v>чт</x:v>
      </x:c>
      <x:c r="C176" s="9" t="n">
        <x:v>30</x:v>
      </x:c>
      <x:c r="D176" s="9" t="str">
        <x:v>изучение</x:v>
      </x:c>
      <x:c r="E176" s="9" t="str">
        <x:v>Reversteg — шаг 4 из 6</x:v>
      </x:c>
      <x:c r="F176" s="9" t="str">
        <x:v>Изучить и проверить: Triage образа и исследуемого файла; листинг и правило проверки входа; динамический контроль и границы вывода.</x:v>
      </x:c>
      <x:c r="G176" s="9" t="str">
        <x:v>Проверь модель на обычном и неверном входах в подходящем отладчике. Патч допустим только на копии выданного/своего файла; объясни отличие обхода ветви от восстановления исходного правила. При недоступности — локальная замена из карточки HV02 в документе 12.
Локальная замена: Продолжай прежний собственный crackme: длина и формат входа, сравнение, преобразование байтов и два контроля. Исследуй один и тот же файл; результат не выдавай за найденный механизм или флаг Reversteg.</x:v>
      </x:c>
      <x:c r="H176" s="9" t="str">
        <x:v>Гипервизор, Nmap, Ghidra, подходящий отладчик, Python</x:v>
      </x:c>
      <x:c r="I176" s="9" t="str">
        <x:v>RU30 S0mbre Разбор учебного crackme в Ghidra — Строки, ссылки и восстановление функции
https://habr.com/ru/articles/447450/
RU27 GNU Отладка с помощью GDB русский перевод — Ветвь, регистры и сравнение запусков
https://www.opennet.ru/docs/RUS/gdb/
RU02 METANIT Язык Си — Буферы, строки и обработка ввода
https://metanit.com/c/tutorial/</x:v>
      </x:c>
      <x:c r="J176" s="9" t="str">
        <x:v>C, ASM, GDB, Ghidra и контроль предыдущего блока. VM не считается crackme по названию; если нужный файл ещё недоступен, исследуется собственный crackme вместо нового опыта.</x:v>
      </x:c>
      <x:c r="K176" s="9" t="str">
        <x:v>Что подтверждено собственным наблюдением, какой неверный контроль это ограничивает и смогу ли я повторить шаг без ИИ?</x:v>
      </x:c>
      <x:c r="L176" s="9" t="str">
        <x:v>2027-03-25_HV02_note.md: наблюдение, контроль, подсказка, статус VM и следующий шаг</x:v>
      </x:c>
      <x:c r="M176" s="12"/>
      <x:c r="N176" s="12"/>
      <x:c r="O176" s="12"/>
      <x:c r="P176" s="14"/>
      <x:c r="Q176" s="9" t="str">
        <x:v>HV02 Reversteg; шаг 4/6
https://downloads.hackmyvm.eu/reversteg.zip
Вместо блока, один вариант: RA07, RA08; карточки в документе 12.</x:v>
      </x:c>
      <x:c r="R176" s="10" t="d">
        <x:v>2027-03-26T00:00:00.000Z</x:v>
      </x:c>
      <x:c r="S176" s="10" t="d">
        <x:v>2027-04-01T00:00:00.000Z</x:v>
      </x:c>
      <x:c r="T176" s="10" t="d">
        <x:v>2027-04-22T00:00:00.000Z</x:v>
      </x:c>
    </x:row>
    <x:row r="177" ht="100" hidden="0" customHeight="1">
      <x:c r="A177" s="10" t="d">
        <x:v>2027-03-26T00:00:00.000Z</x:v>
      </x:c>
      <x:c r="B177" s="9" t="str">
        <x:v>пт</x:v>
      </x:c>
      <x:c r="C177" s="9" t="n">
        <x:v>30</x:v>
      </x:c>
      <x:c r="D177" s="9" t="str">
        <x:v>изучение</x:v>
      </x:c>
      <x:c r="E177" s="9" t="str">
        <x:v>Reversteg — шаг 5 из 6</x:v>
      </x:c>
      <x:c r="F177" s="9" t="str">
        <x:v>Изучить и проверить: Triage образа и исследуемого файла; листинг и правило проверки входа; динамический контроль и границы вывода.</x:v>
      </x:c>
      <x:c r="G177" s="9" t="str">
        <x:v>Восстанови правило выбранной функции и сравни положительный, неверный и граничный случаи. Если бинарник взят из своего упражнения, явно запиши это: результат не подтверждает прохождение Reversteg. При недоступности — локальная замена из карточки HV02 в документе 12.
Локальная замена: Продолжай прежний собственный crackme: длина и формат входа, сравнение, преобразование байтов и два контроля. Исследуй один и тот же файл; результат не выдавай за найденный механизм или флаг Reversteg.</x:v>
      </x:c>
      <x:c r="H177" s="9" t="str">
        <x:v>Гипервизор, Nmap, Ghidra, подходящий отладчик, Python</x:v>
      </x:c>
      <x:c r="I177" s="9" t="str">
        <x:v>RU30 S0mbre Разбор учебного crackme в Ghidra — Строки, ссылки и восстановление функции
https://habr.com/ru/articles/447450/
RU27 GNU Отладка с помощью GDB русский перевод — Ветвь, регистры и сравнение запусков
https://www.opennet.ru/docs/RUS/gdb/
RU02 METANIT Язык Си — Буферы, строки и обработка ввода
https://metanit.com/c/tutorial/</x:v>
      </x:c>
      <x:c r="J177" s="9" t="str">
        <x:v>C, ASM, GDB, Ghidra и контроль предыдущего блока. VM не считается crackme по названию; если нужный файл ещё недоступен, исследуется собственный crackme вместо нового опыта.</x:v>
      </x:c>
      <x:c r="K177" s="9" t="str">
        <x:v>Что подтверждено собственным наблюдением, какой неверный контроль это ограничивает и смогу ли я повторить шаг без ИИ?</x:v>
      </x:c>
      <x:c r="L177" s="9" t="str">
        <x:v>2027-03-26_HV02_note.md: наблюдение, контроль, подсказка, статус VM и следующий шаг</x:v>
      </x:c>
      <x:c r="M177" s="12"/>
      <x:c r="N177" s="12"/>
      <x:c r="O177" s="12"/>
      <x:c r="P177" s="14"/>
      <x:c r="Q177" s="9" t="str">
        <x:v>HV02 Reversteg; шаг 5/6
https://downloads.hackmyvm.eu/reversteg.zip
Вместо блока, один вариант: RA07, RA08; карточки в документе 12.</x:v>
      </x:c>
      <x:c r="R177" s="10" t="d">
        <x:v>2027-03-27T00:00:00.000Z</x:v>
      </x:c>
      <x:c r="S177" s="10" t="d">
        <x:v>2027-04-02T00:00:00.000Z</x:v>
      </x:c>
      <x:c r="T177" s="10" t="d">
        <x:v>2027-04-23T00:00:00.000Z</x:v>
      </x:c>
    </x:row>
    <x:row r="178" ht="100" hidden="0" customHeight="1">
      <x:c r="A178" s="10" t="d">
        <x:v>2027-03-27T00:00:00.000Z</x:v>
      </x:c>
      <x:c r="B178" s="9" t="str">
        <x:v>сб</x:v>
      </x:c>
      <x:c r="C178" s="9" t="n">
        <x:v>30</x:v>
      </x:c>
      <x:c r="D178" s="9" t="str">
        <x:v>повторение</x:v>
      </x:c>
      <x:c r="E178" s="9" t="str">
        <x:v>Reversteg — шаг 6 из 6</x:v>
      </x:c>
      <x:c r="F178" s="9" t="str">
        <x:v>Повторить и проверить: Triage образа и исследуемого файла; листинг и правило проверки входа; динамический контроль и границы вывода.</x:v>
      </x:c>
      <x:c r="G178" s="9" t="str">
        <x:v>Повтори объяснённый шаг по собственному README без подсказки. Запиши отдельно статус VM и binary-контроля, границы результата и cleanup. Незавершённый путь продолжится вместо следующей задачи. При недоступности — локальная замена из карточки HV02 в документе 12.
Локальная замена: Продолжай прежний собственный crackme: длина и формат входа, сравнение, преобразование байтов и два контроля. Исследуй один и тот же файл; результат не выдавай за найденный механизм или флаг Reversteg.</x:v>
      </x:c>
      <x:c r="H178" s="9" t="str">
        <x:v>Гипервизор, Nmap, Ghidra, подходящий отладчик, Python</x:v>
      </x:c>
      <x:c r="I178" s="9" t="str">
        <x:v>RU30 S0mbre Разбор учебного crackme в Ghidra — Строки, ссылки и восстановление функции
https://habr.com/ru/articles/447450/
RU27 GNU Отладка с помощью GDB русский перевод — Ветвь, регистры и сравнение запусков
https://www.opennet.ru/docs/RUS/gdb/
RU02 METANIT Язык Си — Буферы, строки и обработка ввода
https://metanit.com/c/tutorial/</x:v>
      </x:c>
      <x:c r="J178" s="9" t="str">
        <x:v>C, ASM, GDB, Ghidra и контроль предыдущего блока. VM не считается crackme по названию; если нужный файл ещё недоступен, исследуется собственный crackme вместо нового опыта.</x:v>
      </x:c>
      <x:c r="K178" s="9" t="str">
        <x:v>Что подтверждено собственным наблюдением, какой неверный контроль это ограничивает и смогу ли я повторить шаг без ИИ?</x:v>
      </x:c>
      <x:c r="L178" s="9" t="str">
        <x:v>2027-03-27_HV02_note.md: наблюдение, контроль, подсказка, статус VM и следующий шаг</x:v>
      </x:c>
      <x:c r="M178" s="12"/>
      <x:c r="N178" s="12"/>
      <x:c r="O178" s="12"/>
      <x:c r="P178" s="14"/>
      <x:c r="Q178" s="9" t="str">
        <x:v>HV02 Reversteg; шаг 6/6
https://downloads.hackmyvm.eu/reversteg.zip
Вместо блока, один вариант: RA07, RA08; карточки в документе 12.</x:v>
      </x:c>
      <x:c r="R178" s="10" t="d">
        <x:v>2027-03-29T00:00:00.000Z</x:v>
      </x:c>
      <x:c r="S178" s="10" t="d">
        <x:v>2027-04-03T00:00:00.000Z</x:v>
      </x:c>
      <x:c r="T178" s="10" t="d">
        <x:v>2027-04-24T00:00:00.000Z</x:v>
      </x:c>
    </x:row>
    <x:row r="179" ht="19" hidden="0" customHeight="1">
      <x:c r="A179" s="10" t="d">
        <x:v>2027-03-28T00:00:00.000Z</x:v>
      </x:c>
      <x:c r="B179" s="9" t="str">
        <x:v>вс</x:v>
      </x:c>
      <x:c r="C179" s="9" t="n">
        <x:v>30</x:v>
      </x:c>
      <x:c r="D179" s="9" t="str">
        <x:v>пауза</x:v>
      </x:c>
      <x:c r="E179" s="9" t="str">
        <x:v>Учебная пауза и восстановление</x:v>
      </x:c>
      <x:c r="F179" s="9" t="str">
        <x:v>Новых учебных задач нет.</x:v>
      </x:c>
      <x:c r="G179" s="9" t="str">
        <x:v>Практика не назначена</x:v>
      </x:c>
      <x:c r="H179" s="9" t="str">
        <x:v>Не требуется</x:v>
      </x:c>
      <x:c r="I179" s="9" t="str">
        <x:v>Чтение не назначено</x:v>
      </x:c>
      <x:c r="J179" s="9" t="str">
        <x:v>Учебная пауза; допуск и практику сегодня не проверять.</x:v>
      </x:c>
      <x:c r="K179" s="9" t="str">
        <x:v>Учебного зачёта сегодня нет.</x:v>
      </x:c>
      <x:c r="L179" s="9" t="str">
        <x:v>Учебного артефакта нет</x:v>
      </x:c>
      <x:c r="M179" s="12"/>
      <x:c r="N179" s="12"/>
      <x:c r="O179" s="12"/>
      <x:c r="P179" s="14"/>
      <x:c r="Q179" s="9" t="str">
        <x:v>пауза</x:v>
      </x:c>
      <x:c r="R179" s="10"/>
      <x:c r="S179" s="10"/>
      <x:c r="T179" s="10"/>
    </x:row>
    <x:row r="180" ht="88" hidden="0" customHeight="1">
      <x:c r="A180" s="10" t="d">
        <x:v>2027-03-29T00:00:00.000Z</x:v>
      </x:c>
      <x:c r="B180" s="9" t="str">
        <x:v>пн</x:v>
      </x:c>
      <x:c r="C180" s="9" t="n">
        <x:v>31</x:v>
      </x:c>
      <x:c r="D180" s="9" t="str">
        <x:v>изучение</x:v>
      </x:c>
      <x:c r="E180" s="9" t="str">
        <x:v>Easy Overflow 1 — шаг 1 из 6</x:v>
      </x:c>
      <x:c r="F180" s="9" t="str">
        <x:v>Изучить и проверить: Граница stack-буфера; измеренное повреждение состояния; ограниченный учебный переход.</x:v>
      </x:c>
      <x:c r="G180" s="9" t="str">
        <x:v>Открой Easy Overflow 1. Установи архитектуру, protections и договор входа. Получи обычный запуск и сохрани исходный snapshot. При недоступности — локальная замена из карточки PW01 в документе 12.
Локальная замена: Продолжай собственную сохранённую stack-lab: обычный/граничный/crash ввод, причина и исправление. Разрешённую ret2win проверяй только если она явно есть в своей сборке и закрыты входные проверки.</x:v>
      </x:c>
      <x:c r="H180" s="9" t="str">
        <x:v>GDB, checksec/readelf, pwntools по условию</x:v>
      </x:c>
      <x:c r="I180" s="9" t="str">
        <x:v>RU58 SPbCTF Pwn Season: лекции и задачи — Переполнения: интро и Easy Overflow 1
https://pwn.spbctf.ru/tasks
RU02 METANIT Язык Си — Буферы и строки C
https://metanit.com/c/tutorial/
RU04 METANIT Ассемблер GAS x86 64 — Stack и договор вызова
https://metanit.com/assembler/gas/</x:v>
      </x:c>
      <x:c r="J180" s="9" t="str">
        <x:v>Собственные bounds/lifetime, ABI и crash note; контроль архитектуры/защит обязателен. Не предполагать ret2win по одному названию.</x:v>
      </x:c>
      <x:c r="K180" s="9" t="str">
        <x:v>Что подтверждено собственным наблюдением, какой неверный контроль это ограничивает и смогу ли я повторить шаг без ИИ?</x:v>
      </x:c>
      <x:c r="L180" s="9" t="str">
        <x:v>2027-03-29_PW01_note.md: вход, версия, наблюдение, контроль, подсказки и следующий шаг</x:v>
      </x:c>
      <x:c r="M180" s="12"/>
      <x:c r="N180" s="12"/>
      <x:c r="O180" s="12"/>
      <x:c r="P180" s="14"/>
      <x:c r="Q180" s="9" t="str">
        <x:v>PW01 Easy Overflow 1; шаг 1/6
https://pwn.spbctf.ru/tasks/pwn1_mc4
Вместо блока, один вариант: KA08, KA09; карточки в документе 12.</x:v>
      </x:c>
      <x:c r="R180" s="10" t="d">
        <x:v>2027-03-30T00:00:00.000Z</x:v>
      </x:c>
      <x:c r="S180" s="10" t="d">
        <x:v>2027-04-05T00:00:00.000Z</x:v>
      </x:c>
      <x:c r="T180" s="10" t="d">
        <x:v>2027-04-26T00:00:00.000Z</x:v>
      </x:c>
    </x:row>
    <x:row r="181" ht="88" hidden="0" customHeight="1">
      <x:c r="A181" s="10" t="d">
        <x:v>2027-03-30T00:00:00.000Z</x:v>
      </x:c>
      <x:c r="B181" s="9" t="str">
        <x:v>вт</x:v>
      </x:c>
      <x:c r="C181" s="9" t="n">
        <x:v>31</x:v>
      </x:c>
      <x:c r="D181" s="9" t="str">
        <x:v>изучение</x:v>
      </x:c>
      <x:c r="E181" s="9" t="str">
        <x:v>Easy Overflow 1 — шаг 2 из 6</x:v>
      </x:c>
      <x:c r="F181" s="9" t="str">
        <x:v>Изучить и проверить: Граница stack-буфера; измеренное повреждение состояния; ограниченный учебный переход.</x:v>
      </x:c>
      <x:c r="G181" s="9" t="str">
        <x:v>На выданной lab проверь граничный и превышающий границу ввод. Запиши первое подтверждённое повреждение и остановись на наблюдаемом состоянии. При недоступности — локальная замена из карточки PW01 в документе 12.
Локальная замена: Продолжай собственную сохранённую stack-lab: обычный/граничный/crash ввод, причина и исправление. Разрешённую ret2win проверяй только если она явно есть в своей сборке и закрыты входные проверки.</x:v>
      </x:c>
      <x:c r="H181" s="9" t="str">
        <x:v>GDB, checksec/readelf, pwntools по условию</x:v>
      </x:c>
      <x:c r="I181" s="9" t="str">
        <x:v>RU58 SPbCTF Pwn Season: лекции и задачи — Переполнения: интро и Easy Overflow 1
https://pwn.spbctf.ru/tasks
RU02 METANIT Язык Си — Буферы и строки C
https://metanit.com/c/tutorial/
RU04 METANIT Ассемблер GAS x86 64 — Stack и договор вызова
https://metanit.com/assembler/gas/</x:v>
      </x:c>
      <x:c r="J181" s="9" t="str">
        <x:v>Собственные bounds/lifetime, ABI и crash note; контроль архитектуры/защит обязателен. Не предполагать ret2win по одному названию.</x:v>
      </x:c>
      <x:c r="K181" s="9" t="str">
        <x:v>Что подтверждено собственным наблюдением, какой неверный контроль это ограничивает и смогу ли я повторить шаг без ИИ?</x:v>
      </x:c>
      <x:c r="L181" s="9" t="str">
        <x:v>2027-03-30_PW01_note.md: вход, версия, наблюдение, контроль, подсказки и следующий шаг</x:v>
      </x:c>
      <x:c r="M181" s="12"/>
      <x:c r="N181" s="12"/>
      <x:c r="O181" s="12"/>
      <x:c r="P181" s="14"/>
      <x:c r="Q181" s="9" t="str">
        <x:v>PW01 Easy Overflow 1; шаг 2/6
https://pwn.spbctf.ru/tasks/pwn1_mc4
Вместо блока, один вариант: KA08, KA09; карточки в документе 12.</x:v>
      </x:c>
      <x:c r="R181" s="10" t="d">
        <x:v>2027-03-31T00:00:00.000Z</x:v>
      </x:c>
      <x:c r="S181" s="10" t="d">
        <x:v>2027-04-06T00:00:00.000Z</x:v>
      </x:c>
      <x:c r="T181" s="10" t="d">
        <x:v>2027-04-27T00:00:00.000Z</x:v>
      </x:c>
    </x:row>
    <x:row r="182" ht="88" hidden="0" customHeight="1">
      <x:c r="A182" s="10" t="d">
        <x:v>2027-03-31T00:00:00.000Z</x:v>
      </x:c>
      <x:c r="B182" s="9" t="str">
        <x:v>ср</x:v>
      </x:c>
      <x:c r="C182" s="9" t="n">
        <x:v>31</x:v>
      </x:c>
      <x:c r="D182" s="9" t="str">
        <x:v>изучение</x:v>
      </x:c>
      <x:c r="E182" s="9" t="str">
        <x:v>Easy Overflow 1 — шаг 3 из 6</x:v>
      </x:c>
      <x:c r="F182" s="9" t="str">
        <x:v>Изучить и проверить: Граница stack-буфера; измеренное повреждение состояния; ограниченный учебный переход.</x:v>
      </x:c>
      <x:c r="G182" s="9" t="str">
        <x:v>Объясни размещение данных и подтверждённое смещение по отладчику. Неподтверждённый контроль адреса не считать установленным. При недоступности — локальная замена из карточки PW01 в документе 12.
Локальная замена: Продолжай собственную сохранённую stack-lab: обычный/граничный/crash ввод, причина и исправление. Разрешённую ret2win проверяй только если она явно есть в своей сборке и закрыты входные проверки.</x:v>
      </x:c>
      <x:c r="H182" s="9" t="str">
        <x:v>GDB, checksec/readelf, pwntools по условию</x:v>
      </x:c>
      <x:c r="I182" s="9" t="str">
        <x:v>RU58 SPbCTF Pwn Season: лекции и задачи — Переполнения: интро и Easy Overflow 1
https://pwn.spbctf.ru/tasks
RU02 METANIT Язык Си — Буферы и строки C
https://metanit.com/c/tutorial/
RU04 METANIT Ассемблер GAS x86 64 — Stack и договор вызова
https://metanit.com/assembler/gas/</x:v>
      </x:c>
      <x:c r="J182" s="9" t="str">
        <x:v>Собственные bounds/lifetime, ABI и crash note; контроль архитектуры/защит обязателен. Не предполагать ret2win по одному названию.</x:v>
      </x:c>
      <x:c r="K182" s="9" t="str">
        <x:v>Что подтверждено собственным наблюдением, какой неверный контроль это ограничивает и смогу ли я повторить шаг без ИИ?</x:v>
      </x:c>
      <x:c r="L182" s="9" t="str">
        <x:v>2027-03-31_PW01_note.md: вход, версия, наблюдение, контроль, подсказки и следующий шаг</x:v>
      </x:c>
      <x:c r="M182" s="12"/>
      <x:c r="N182" s="12"/>
      <x:c r="O182" s="12"/>
      <x:c r="P182" s="14"/>
      <x:c r="Q182" s="9" t="str">
        <x:v>PW01 Easy Overflow 1; шаг 3/6
https://pwn.spbctf.ru/tasks/pwn1_mc4
Вместо блока, один вариант: KA08, KA09; карточки в документе 12.</x:v>
      </x:c>
      <x:c r="R182" s="10" t="d">
        <x:v>2027-04-01T00:00:00.000Z</x:v>
      </x:c>
      <x:c r="S182" s="10" t="d">
        <x:v>2027-04-07T00:00:00.000Z</x:v>
      </x:c>
      <x:c r="T182" s="10" t="d">
        <x:v>2027-04-28T00:00:00.000Z</x:v>
      </x:c>
    </x:row>
    <x:row r="183" ht="88" hidden="0" customHeight="1">
      <x:c r="A183" s="10" t="d">
        <x:v>2027-04-01T00:00:00.000Z</x:v>
      </x:c>
      <x:c r="B183" s="9" t="str">
        <x:v>чт</x:v>
      </x:c>
      <x:c r="C183" s="9" t="n">
        <x:v>31</x:v>
      </x:c>
      <x:c r="D183" s="9" t="str">
        <x:v>изучение</x:v>
      </x:c>
      <x:c r="E183" s="9" t="str">
        <x:v>Easy Overflow 1 — шаг 4 из 6</x:v>
      </x:c>
      <x:c r="F183" s="9" t="str">
        <x:v>Изучить и проверить: Граница stack-буфера; измеренное повреждение состояния; ограниченный учебный переход.</x:v>
      </x:c>
      <x:c r="G183" s="9" t="str">
        <x:v>Проверь только предусмотренную задачей учебную цель при выполненных предусловиях. Если защиты не соответствуют модели, пересмотри гипотезу вместо их слепого отключения. При недоступности — локальная замена из карточки PW01 в документе 12.
Локальная замена: Продолжай собственную сохранённую stack-lab: обычный/граничный/crash ввод, причина и исправление. Разрешённую ret2win проверяй только если она явно есть в своей сборке и закрыты входные проверки.</x:v>
      </x:c>
      <x:c r="H183" s="9" t="str">
        <x:v>GDB, checksec/readelf, pwntools по условию</x:v>
      </x:c>
      <x:c r="I183" s="9" t="str">
        <x:v>RU58 SPbCTF Pwn Season: лекции и задачи — Переполнения: интро и Easy Overflow 1
https://pwn.spbctf.ru/tasks
RU02 METANIT Язык Си — Буферы и строки C
https://metanit.com/c/tutorial/
RU04 METANIT Ассемблер GAS x86 64 — Stack и договор вызова
https://metanit.com/assembler/gas/</x:v>
      </x:c>
      <x:c r="J183" s="9" t="str">
        <x:v>Собственные bounds/lifetime, ABI и crash note; контроль архитектуры/защит обязателен. Не предполагать ret2win по одному названию.</x:v>
      </x:c>
      <x:c r="K183" s="9" t="str">
        <x:v>Что подтверждено собственным наблюдением, какой неверный контроль это ограничивает и смогу ли я повторить шаг без ИИ?</x:v>
      </x:c>
      <x:c r="L183" s="9" t="str">
        <x:v>2027-04-01_PW01_note.md: вход, версия, наблюдение, контроль, подсказки и следующий шаг</x:v>
      </x:c>
      <x:c r="M183" s="12"/>
      <x:c r="N183" s="12"/>
      <x:c r="O183" s="12"/>
      <x:c r="P183" s="14"/>
      <x:c r="Q183" s="9" t="str">
        <x:v>PW01 Easy Overflow 1; шаг 4/6
https://pwn.spbctf.ru/tasks/pwn1_mc4
Вместо блока, один вариант: KA08, KA09; карточки в документе 12.</x:v>
      </x:c>
      <x:c r="R183" s="10" t="d">
        <x:v>2027-04-02T00:00:00.000Z</x:v>
      </x:c>
      <x:c r="S183" s="10" t="d">
        <x:v>2027-04-08T00:00:00.000Z</x:v>
      </x:c>
      <x:c r="T183" s="10" t="d">
        <x:v>2027-04-29T00:00:00.000Z</x:v>
      </x:c>
    </x:row>
    <x:row r="184" ht="88" hidden="0" customHeight="1">
      <x:c r="A184" s="10" t="d">
        <x:v>2027-04-02T00:00:00.000Z</x:v>
      </x:c>
      <x:c r="B184" s="9" t="str">
        <x:v>пт</x:v>
      </x:c>
      <x:c r="C184" s="9" t="n">
        <x:v>31</x:v>
      </x:c>
      <x:c r="D184" s="9" t="str">
        <x:v>изучение</x:v>
      </x:c>
      <x:c r="E184" s="9" t="str">
        <x:v>Easy Overflow 1 — шаг 5 из 6</x:v>
      </x:c>
      <x:c r="F184" s="9" t="str">
        <x:v>Изучить и проверить: Граница stack-буфера; измеренное повреждение состояния; ограниченный учебный переход.</x:v>
      </x:c>
      <x:c r="G184" s="9" t="str">
        <x:v>Сравни допустимый и намеренно неверный контроль. Зафиксируй требования ABI и ограничения входа для своего конкретного результата. При недоступности — локальная замена из карточки PW01 в документе 12.
Локальная замена: Продолжай собственную сохранённую stack-lab: обычный/граничный/crash ввод, причина и исправление. Разрешённую ret2win проверяй только если она явно есть в своей сборке и закрыты входные проверки.</x:v>
      </x:c>
      <x:c r="H184" s="9" t="str">
        <x:v>GDB, checksec/readelf, pwntools по условию</x:v>
      </x:c>
      <x:c r="I184" s="9" t="str">
        <x:v>RU58 SPbCTF Pwn Season: лекции и задачи — Переполнения: интро и Easy Overflow 1
https://pwn.spbctf.ru/tasks
RU02 METANIT Язык Си — Буферы и строки C
https://metanit.com/c/tutorial/
RU04 METANIT Ассемблер GAS x86 64 — Stack и договор вызова
https://metanit.com/assembler/gas/</x:v>
      </x:c>
      <x:c r="J184" s="9" t="str">
        <x:v>Собственные bounds/lifetime, ABI и crash note; контроль архитектуры/защит обязателен. Не предполагать ret2win по одному названию.</x:v>
      </x:c>
      <x:c r="K184" s="9" t="str">
        <x:v>Что подтверждено собственным наблюдением, какой неверный контроль это ограничивает и смогу ли я повторить шаг без ИИ?</x:v>
      </x:c>
      <x:c r="L184" s="9" t="str">
        <x:v>2027-04-02_PW01_note.md: вход, версия, наблюдение, контроль, подсказки и следующий шаг</x:v>
      </x:c>
      <x:c r="M184" s="12"/>
      <x:c r="N184" s="12"/>
      <x:c r="O184" s="12"/>
      <x:c r="P184" s="14"/>
      <x:c r="Q184" s="9" t="str">
        <x:v>PW01 Easy Overflow 1; шаг 5/6
https://pwn.spbctf.ru/tasks/pwn1_mc4
Вместо блока, один вариант: KA08, KA09; карточки в документе 12.</x:v>
      </x:c>
      <x:c r="R184" s="10" t="d">
        <x:v>2027-04-03T00:00:00.000Z</x:v>
      </x:c>
      <x:c r="S184" s="10" t="d">
        <x:v>2027-04-09T00:00:00.000Z</x:v>
      </x:c>
      <x:c r="T184" s="10" t="d">
        <x:v>2027-04-30T00:00:00.000Z</x:v>
      </x:c>
    </x:row>
    <x:row r="185" ht="88" hidden="0" customHeight="1">
      <x:c r="A185" s="10" t="d">
        <x:v>2027-04-03T00:00:00.000Z</x:v>
      </x:c>
      <x:c r="B185" s="9" t="str">
        <x:v>сб</x:v>
      </x:c>
      <x:c r="C185" s="9" t="n">
        <x:v>31</x:v>
      </x:c>
      <x:c r="D185" s="9" t="str">
        <x:v>повторение</x:v>
      </x:c>
      <x:c r="E185" s="9" t="str">
        <x:v>Easy Overflow 1 — шаг 6 из 6</x:v>
      </x:c>
      <x:c r="F185" s="9" t="str">
        <x:v>Повторить и применить: Граница stack-буфера; измеренное повреждение состояния; ограниченный учебный переход.</x:v>
      </x:c>
      <x:c r="G185" s="9" t="str">
        <x:v>Повтори результат из snapshot по собственному README и предложи исправление причины. Недоступный старый сервис заменяется локальной сборкой, флаг платформы не засчитывается. При недоступности — локальная замена из карточки PW01 в документе 12.
Локальная замена: Продолжай собственную сохранённую stack-lab: обычный/граничный/crash ввод, причина и исправление. Разрешённую ret2win проверяй только если она явно есть в своей сборке и закрыты входные проверки.</x:v>
      </x:c>
      <x:c r="H185" s="9" t="str">
        <x:v>GDB, checksec/readelf, pwntools по условию</x:v>
      </x:c>
      <x:c r="I185" s="9" t="str">
        <x:v>RU58 SPbCTF Pwn Season: лекции и задачи — Переполнения: интро и Easy Overflow 1
https://pwn.spbctf.ru/tasks
RU02 METANIT Язык Си — Буферы и строки C
https://metanit.com/c/tutorial/
RU04 METANIT Ассемблер GAS x86 64 — Stack и договор вызова
https://metanit.com/assembler/gas/</x:v>
      </x:c>
      <x:c r="J185" s="9" t="str">
        <x:v>Собственные bounds/lifetime, ABI и crash note; контроль архитектуры/защит обязателен. Не предполагать ret2win по одному названию.</x:v>
      </x:c>
      <x:c r="K185" s="9" t="str">
        <x:v>Что подтверждено собственным наблюдением, какой неверный контроль это ограничивает и смогу ли я повторить шаг без ИИ?</x:v>
      </x:c>
      <x:c r="L185" s="9" t="str">
        <x:v>2027-04-03_PW01_note.md: вход, версия, наблюдение, контроль, подсказки и следующий шаг</x:v>
      </x:c>
      <x:c r="M185" s="12"/>
      <x:c r="N185" s="12"/>
      <x:c r="O185" s="12"/>
      <x:c r="P185" s="14"/>
      <x:c r="Q185" s="9" t="str">
        <x:v>PW01 Easy Overflow 1; шаг 6/6
https://pwn.spbctf.ru/tasks/pwn1_mc4
Вместо блока, один вариант: KA08, KA09; карточки в документе 12.</x:v>
      </x:c>
      <x:c r="R185" s="10" t="d">
        <x:v>2027-04-05T00:00:00.000Z</x:v>
      </x:c>
      <x:c r="S185" s="10" t="d">
        <x:v>2027-04-10T00:00:00.000Z</x:v>
      </x:c>
      <x:c r="T185" s="10" t="d">
        <x:v>2027-05-01T00:00:00.000Z</x:v>
      </x:c>
    </x:row>
    <x:row r="186" ht="19" hidden="0" customHeight="1">
      <x:c r="A186" s="10" t="d">
        <x:v>2027-04-04T00:00:00.000Z</x:v>
      </x:c>
      <x:c r="B186" s="9" t="str">
        <x:v>вс</x:v>
      </x:c>
      <x:c r="C186" s="9" t="n">
        <x:v>31</x:v>
      </x:c>
      <x:c r="D186" s="9" t="str">
        <x:v>пауза</x:v>
      </x:c>
      <x:c r="E186" s="9" t="str">
        <x:v>Учебная пауза и восстановление</x:v>
      </x:c>
      <x:c r="F186" s="9" t="str">
        <x:v>Новых учебных задач нет.</x:v>
      </x:c>
      <x:c r="G186" s="9" t="str">
        <x:v>Практика не назначена</x:v>
      </x:c>
      <x:c r="H186" s="9" t="str">
        <x:v>Не требуется</x:v>
      </x:c>
      <x:c r="I186" s="9" t="str">
        <x:v>Чтение не назначено</x:v>
      </x:c>
      <x:c r="J186" s="9" t="str">
        <x:v>Учебная пауза; допуск и практику сегодня не проверять.</x:v>
      </x:c>
      <x:c r="K186" s="9" t="str">
        <x:v>Учебного зачёта сегодня нет.</x:v>
      </x:c>
      <x:c r="L186" s="9" t="str">
        <x:v>Учебного артефакта нет</x:v>
      </x:c>
      <x:c r="M186" s="12"/>
      <x:c r="N186" s="12"/>
      <x:c r="O186" s="12"/>
      <x:c r="P186" s="14"/>
      <x:c r="Q186" s="9" t="str">
        <x:v>пауза</x:v>
      </x:c>
      <x:c r="R186" s="10"/>
      <x:c r="S186" s="10"/>
      <x:c r="T186" s="10"/>
    </x:row>
    <x:row r="187" ht="88" hidden="0" customHeight="1">
      <x:c r="A187" s="10" t="d">
        <x:v>2027-04-05T00:00:00.000Z</x:v>
      </x:c>
      <x:c r="B187" s="9" t="str">
        <x:v>пн</x:v>
      </x:c>
      <x:c r="C187" s="9" t="n">
        <x:v>32</x:v>
      </x:c>
      <x:c r="D187" s="9" t="str">
        <x:v>изучение</x:v>
      </x:c>
      <x:c r="E187" s="9" t="str">
        <x:v>Матрица защит конкретного ELF и границ CFI</x:v>
      </x:c>
      <x:c r="F187" s="9" t="str">
        <x:v>Разобрать: NX; ASLR и PIE; canary; RELRO; контроль допустимого перехода.</x:v>
      </x:c>
      <x:c r="G187" s="9" t="str">
        <x:v>Для своего учебного ELF составь матрицу наблюдаемых защит. Для CFI отдельно укажи, подтверждена ли инструментированная сборка; отсутствие проверки в своей среде оставь неизвестным.</x:v>
      </x:c>
      <x:c r="H187" s="9" t="str">
        <x:v>readelf, GDB, свой ELF</x:v>
      </x:c>
      <x:c r="I187" s="9" t="str">
        <x:v>RU37 Алексей Вишняков Исследование ROP цепочек — Раздел 2.9: принцип CFI
https://vishnya.xyz/vishnyakov-master-thesis2020.pdf
RU32 Microsoft Learn Control Flow Guard — Принцип и признаки Windows CFG
https://learn.microsoft.com/ru-ru/windows/win32/secbp/control-flow-guard</x:v>
      </x:c>
      <x:c r="J187" s="9" t="str">
        <x:v>Освоен стековый дефект: подтверждённое смещение и объяснённая причина записи в учебном бинарнике.</x:v>
      </x:c>
      <x:c r="K187" s="9" t="str">
        <x:v>Какая защита относится к переходам управления, а какая к причине записи за границу?</x:v>
      </x:c>
      <x:c r="L187" s="9" t="str">
        <x:v>Матрица защит с источником каждого признака</x:v>
      </x:c>
      <x:c r="M187" s="12"/>
      <x:c r="N187" s="12"/>
      <x:c r="O187" s="12"/>
      <x:c r="P187" s="14"/>
      <x:c r="Q187" s="9" t="str">
        <x:v>RU37 RU32</x:v>
      </x:c>
      <x:c r="R187" s="10" t="d">
        <x:v>2027-04-06T00:00:00.000Z</x:v>
      </x:c>
      <x:c r="S187" s="10" t="d">
        <x:v>2027-04-12T00:00:00.000Z</x:v>
      </x:c>
      <x:c r="T187" s="10" t="d">
        <x:v>2027-05-03T00:00:00.000Z</x:v>
      </x:c>
    </x:row>
    <x:row r="188" ht="40" hidden="0" customHeight="1">
      <x:c r="A188" s="10" t="d">
        <x:v>2027-04-06T00:00:00.000Z</x:v>
      </x:c>
      <x:c r="B188" s="9" t="str">
        <x:v>вт</x:v>
      </x:c>
      <x:c r="C188" s="9" t="n">
        <x:v>32</x:v>
      </x:c>
      <x:c r="D188" s="9" t="str">
        <x:v>изучение</x:v>
      </x:c>
      <x:c r="E188" s="9" t="str">
        <x:v>Права страниц памяти и NX</x:v>
      </x:c>
      <x:c r="F188" s="9" t="str">
        <x:v>Разобрать: Права чтения, записи и исполнения; mapping; NX; нарушение bounds независимо от прав исполнения.</x:v>
      </x:c>
      <x:c r="G188" s="9" t="str">
        <x:v>Сравни права страниц двух собственных учебных сборок. Свяжи наблюдение с ELF program headers и mappings.</x:v>
      </x:c>
      <x:c r="H188" s="9" t="str">
        <x:v>Linux-VM, свой C/ELF, GDB/Ghidra</x:v>
      </x:c>
      <x:c r="I188" s="9" t="str">
        <x:v>RU29 Андрей Коновалов CTF на Физтехе — 04-binary: ASLR PIE canary RELRO NX
https://github.com/xairy/mipt-ctf</x:v>
      </x:c>
      <x:c r="J188" s="9" t="str">
        <x:v>предыдущий механизм: подтверждённое смещение и объяснённая причина записи в учебном бинарнике.</x:v>
      </x:c>
      <x:c r="K188" s="9" t="str">
        <x:v>Почему NX не исправляет buffer overflow?</x:v>
      </x:c>
      <x:c r="L188" s="9" t="str">
        <x:v>2027-04-06_note.md: вход, ожидание, факт, вывод, контроль</x:v>
      </x:c>
      <x:c r="M188" s="12"/>
      <x:c r="N188" s="12"/>
      <x:c r="O188" s="12"/>
      <x:c r="P188" s="14"/>
      <x:c r="Q188" s="9" t="str">
        <x:v>RU29</x:v>
      </x:c>
      <x:c r="R188" s="10" t="d">
        <x:v>2027-04-07T00:00:00.000Z</x:v>
      </x:c>
      <x:c r="S188" s="10" t="d">
        <x:v>2027-04-13T00:00:00.000Z</x:v>
      </x:c>
      <x:c r="T188" s="10" t="d">
        <x:v>2027-05-04T00:00:00.000Z</x:v>
      </x:c>
    </x:row>
    <x:row r="189" ht="40" hidden="0" customHeight="1">
      <x:c r="A189" s="10" t="d">
        <x:v>2027-04-07T00:00:00.000Z</x:v>
      </x:c>
      <x:c r="B189" s="9" t="str">
        <x:v>ср</x:v>
      </x:c>
      <x:c r="C189" s="9" t="n">
        <x:v>32</x:v>
      </x:c>
      <x:c r="D189" s="9" t="str">
        <x:v>изучение</x:v>
      </x:c>
      <x:c r="E189" s="9" t="str">
        <x:v>ASLR PIE и адреса между запусками</x:v>
      </x:c>
      <x:c r="F189" s="9" t="str">
        <x:v>Разобрать: Base основного image; mappings библиотек; относительное смещение; сравнение двух запусков.</x:v>
      </x:c>
      <x:c r="G189" s="9" t="str">
        <x:v>Запусти свой процесс несколько раз. Сравни base image и выбранный mapping; подпиши PIE и настройки VM.</x:v>
      </x:c>
      <x:c r="H189" s="9" t="str">
        <x:v>Linux-VM, свой C/ELF, GDB/Ghidra</x:v>
      </x:c>
      <x:c r="I189" s="9" t="str">
        <x:v>RU29 Андрей Коновалов CTF на Физтехе — 04-binary: ASLR PIE canary RELRO NX
https://github.com/xairy/mipt-ctf</x:v>
      </x:c>
      <x:c r="J189" s="9" t="str">
        <x:v>предыдущий механизм: подтверждённое смещение и объяснённая причина записи в учебном бинарнике.</x:v>
      </x:c>
      <x:c r="K189" s="9" t="str">
        <x:v>Какая область действительно изменила адрес?</x:v>
      </x:c>
      <x:c r="L189" s="9" t="str">
        <x:v>2027-04-07_note.md: вход, ожидание, факт, вывод, контроль</x:v>
      </x:c>
      <x:c r="M189" s="12"/>
      <x:c r="N189" s="12"/>
      <x:c r="O189" s="12"/>
      <x:c r="P189" s="14"/>
      <x:c r="Q189" s="9" t="str">
        <x:v>RU29</x:v>
      </x:c>
      <x:c r="R189" s="10" t="d">
        <x:v>2027-04-08T00:00:00.000Z</x:v>
      </x:c>
      <x:c r="S189" s="10" t="d">
        <x:v>2027-04-14T00:00:00.000Z</x:v>
      </x:c>
      <x:c r="T189" s="10" t="d">
        <x:v>2027-05-05T00:00:00.000Z</x:v>
      </x:c>
    </x:row>
    <x:row r="190" ht="40" hidden="0" customHeight="1">
      <x:c r="A190" s="10" t="d">
        <x:v>2027-04-08T00:00:00.000Z</x:v>
      </x:c>
      <x:c r="B190" s="9" t="str">
        <x:v>чт</x:v>
      </x:c>
      <x:c r="C190" s="9" t="n">
        <x:v>32</x:v>
      </x:c>
      <x:c r="D190" s="9" t="str">
        <x:v>изучение</x:v>
      </x:c>
      <x:c r="E190" s="9" t="str">
        <x:v>Stack canary в выбранной функции своей сборки</x:v>
      </x:c>
      <x:c r="F190" s="9" t="str">
        <x:v>Разобрать: Признак защитного кода; место проверки; путь возврата; влияние параметров компиляции.</x:v>
      </x:c>
      <x:c r="G190" s="9" t="str">
        <x:v>В собственной безопасной функции сравни сборки с защитой и без. Найди проверку по assembly, сохрани признаки.</x:v>
      </x:c>
      <x:c r="H190" s="9" t="str">
        <x:v>Linux-VM, свой C/ELF, GDB/Ghidra</x:v>
      </x:c>
      <x:c r="I190" s="9" t="str">
        <x:v>RU29 Андрей Коновалов CTF на Физтехе — 04-binary: ASLR PIE canary RELRO NX
https://github.com/xairy/mipt-ctf</x:v>
      </x:c>
      <x:c r="J190" s="9" t="str">
        <x:v>предыдущий механизм: подтверждённое смещение и объяснённая причина записи в учебном бинарнике.</x:v>
      </x:c>
      <x:c r="K190" s="9" t="str">
        <x:v>Почему наличие canary не защищает каждый объект памяти?</x:v>
      </x:c>
      <x:c r="L190" s="9" t="str">
        <x:v>2027-04-08_note.md: вход, ожидание, факт, вывод, контроль</x:v>
      </x:c>
      <x:c r="M190" s="12"/>
      <x:c r="N190" s="12"/>
      <x:c r="O190" s="12"/>
      <x:c r="P190" s="14"/>
      <x:c r="Q190" s="9" t="str">
        <x:v>RU29</x:v>
      </x:c>
      <x:c r="R190" s="10" t="d">
        <x:v>2027-04-09T00:00:00.000Z</x:v>
      </x:c>
      <x:c r="S190" s="10" t="d">
        <x:v>2027-04-15T00:00:00.000Z</x:v>
      </x:c>
      <x:c r="T190" s="10" t="d">
        <x:v>2027-05-06T00:00:00.000Z</x:v>
      </x:c>
    </x:row>
    <x:row r="191" ht="88" hidden="0" customHeight="1">
      <x:c r="A191" s="10" t="d">
        <x:v>2027-04-09T00:00:00.000Z</x:v>
      </x:c>
      <x:c r="B191" s="9" t="str">
        <x:v>пт</x:v>
      </x:c>
      <x:c r="C191" s="9" t="n">
        <x:v>32</x:v>
      </x:c>
      <x:c r="D191" s="9" t="str">
        <x:v>изучение</x:v>
      </x:c>
      <x:c r="E191" s="9" t="str">
        <x:v>RELRO и ограничения непрямых вызовов CFI</x:v>
      </x:c>
      <x:c r="F191" s="9" t="str">
        <x:v>Разобрать: Relocation; права GOT; тип непрямого вызова; требования сборки.</x:v>
      </x:c>
      <x:c r="G191" s="9" t="str">
        <x:v>Сравни права GOT в двух собственных сборках. По RU37 подпиши отдельно границы выбранной модели CFI. Не объявляй CFI работающим по одному флагу без наблюдения.</x:v>
      </x:c>
      <x:c r="H191" s="9" t="str">
        <x:v>readelf, свой ELF, документация Clang</x:v>
      </x:c>
      <x:c r="I191" s="9" t="str">
        <x:v>RU37 Алексей Вишняков Исследование ROP цепочек — Раздел 2.9: принцип CFI
https://vishnya.xyz/vishnyakov-master-thesis2020.pdf
RU32 Microsoft Learn Control Flow Guard — Принцип и признаки Windows CFG
https://learn.microsoft.com/ru-ru/windows/win32/secbp/control-flow-guard</x:v>
      </x:c>
      <x:c r="J191" s="9" t="str">
        <x:v>предыдущий механизм: подтверждённое смещение и объяснённая причина записи в учебном бинарнике.</x:v>
      </x:c>
      <x:c r="K191" s="9" t="str">
        <x:v>Какое наблюдение подтверждает защиту, а какое только намерение её включить?</x:v>
      </x:c>
      <x:c r="L191" s="9" t="str">
        <x:v>Сравнение GOT и карточка проверяемого условия CFI</x:v>
      </x:c>
      <x:c r="M191" s="12"/>
      <x:c r="N191" s="12"/>
      <x:c r="O191" s="12"/>
      <x:c r="P191" s="14"/>
      <x:c r="Q191" s="9" t="str">
        <x:v>RU37 RU32</x:v>
      </x:c>
      <x:c r="R191" s="10" t="d">
        <x:v>2027-04-10T00:00:00.000Z</x:v>
      </x:c>
      <x:c r="S191" s="10" t="d">
        <x:v>2027-04-16T00:00:00.000Z</x:v>
      </x:c>
      <x:c r="T191" s="10" t="d">
        <x:v>2027-05-07T00:00:00.000Z</x:v>
      </x:c>
    </x:row>
    <x:row r="192" ht="40" hidden="0" customHeight="1">
      <x:c r="A192" s="10" t="d">
        <x:v>2027-04-10T00:00:00.000Z</x:v>
      </x:c>
      <x:c r="B192" s="9" t="str">
        <x:v>сб</x:v>
      </x:c>
      <x:c r="C192" s="9" t="n">
        <x:v>32</x:v>
      </x:c>
      <x:c r="D192" s="9" t="str">
        <x:v>повторение</x:v>
      </x:c>
      <x:c r="E192" s="9" t="str">
        <x:v>Сравнение одного опыта на двух вариантах сборки</x:v>
      </x:c>
      <x:c r="F192" s="9" t="str">
        <x:v>Повторить: Один изменённый параметр защиты; одинаковый вход; исходные flags; наблюдаемый эффект.</x:v>
      </x:c>
      <x:c r="G192" s="9" t="str">
        <x:v>Повтори один свой тест на двух сборках, отличающихся защитой. Сохрани flags, input и наблюдение.</x:v>
      </x:c>
      <x:c r="H192" s="9" t="str">
        <x:v>Linux-VM, свой C/ELF, GDB/Ghidra</x:v>
      </x:c>
      <x:c r="I192" s="9" t="str">
        <x:v>RU29 Андрей Коновалов CTF на Физтехе — 04-binary: ASLR PIE canary RELRO NX
https://github.com/xairy/mipt-ctf</x:v>
      </x:c>
      <x:c r="J192" s="9" t="str">
        <x:v>предыдущий механизм: подтверждённое смещение и объяснённая причина записи в учебном бинарнике.</x:v>
      </x:c>
      <x:c r="K192" s="9" t="str">
        <x:v>Какой единственный изменённый параметр объясняет сравнение?</x:v>
      </x:c>
      <x:c r="L192" s="9" t="str">
        <x:v>2027-04-10_note.md: вход, ожидание, факт, вывод, контроль</x:v>
      </x:c>
      <x:c r="M192" s="12"/>
      <x:c r="N192" s="12"/>
      <x:c r="O192" s="12"/>
      <x:c r="P192" s="14"/>
      <x:c r="Q192" s="9" t="str">
        <x:v>RU29</x:v>
      </x:c>
      <x:c r="R192" s="10" t="d">
        <x:v>2027-04-12T00:00:00.000Z</x:v>
      </x:c>
      <x:c r="S192" s="10" t="d">
        <x:v>2027-04-17T00:00:00.000Z</x:v>
      </x:c>
      <x:c r="T192" s="10" t="d">
        <x:v>2027-05-10T00:00:00.000Z</x:v>
      </x:c>
    </x:row>
    <x:row r="193" ht="19" hidden="0" customHeight="1">
      <x:c r="A193" s="10" t="d">
        <x:v>2027-04-11T00:00:00.000Z</x:v>
      </x:c>
      <x:c r="B193" s="9" t="str">
        <x:v>вс</x:v>
      </x:c>
      <x:c r="C193" s="9" t="n">
        <x:v>32</x:v>
      </x:c>
      <x:c r="D193" s="9" t="str">
        <x:v>пауза</x:v>
      </x:c>
      <x:c r="E193" s="9" t="str">
        <x:v>Учебная пауза и восстановление</x:v>
      </x:c>
      <x:c r="F193" s="9" t="str">
        <x:v>Новых учебных задач нет.</x:v>
      </x:c>
      <x:c r="G193" s="9" t="str">
        <x:v>Практика не назначена</x:v>
      </x:c>
      <x:c r="H193" s="9" t="str">
        <x:v>Не требуется</x:v>
      </x:c>
      <x:c r="I193" s="9" t="str">
        <x:v>Чтение не назначено</x:v>
      </x:c>
      <x:c r="J193" s="9" t="str">
        <x:v>Учебная пауза; допуск и практику сегодня не проверять.</x:v>
      </x:c>
      <x:c r="K193" s="9" t="str">
        <x:v>Учебного зачёта сегодня нет.</x:v>
      </x:c>
      <x:c r="L193" s="9" t="str">
        <x:v>Учебного артефакта нет</x:v>
      </x:c>
      <x:c r="M193" s="12"/>
      <x:c r="N193" s="12"/>
      <x:c r="O193" s="12"/>
      <x:c r="P193" s="14"/>
      <x:c r="Q193" s="9" t="str">
        <x:v>пауза</x:v>
      </x:c>
      <x:c r="R193" s="10"/>
      <x:c r="S193" s="10"/>
      <x:c r="T193" s="10"/>
    </x:row>
    <x:row r="194" ht="76" hidden="0" customHeight="1">
      <x:c r="A194" s="10" t="d">
        <x:v>2027-04-12T00:00:00.000Z</x:v>
      </x:c>
      <x:c r="B194" s="9" t="str">
        <x:v>пн</x:v>
      </x:c>
      <x:c r="C194" s="9" t="n">
        <x:v>33</x:v>
      </x:c>
      <x:c r="D194" s="9" t="str">
        <x:v>изучение</x:v>
      </x:c>
      <x:c r="E194" s="9" t="str">
        <x:v>Строка формата printf и пользовательские данные</x:v>
      </x:c>
      <x:c r="F194" s="9" t="str">
        <x:v>Разобрать: Фиксированный format; спецификаторы; ввод как аргумент; ввод как строка формата.</x:v>
      </x:c>
      <x:c r="G194" s="9" t="str">
        <x:v>На своём безопасном примере сравни фиксированный format и вывод пользовательской строки. Подпиши контролируемый аргумент.</x:v>
      </x:c>
      <x:c r="H194" s="9" t="str">
        <x:v>Linux-VM, свой C/ELF, GDB/Ghidra</x:v>
      </x:c>
      <x:c r="I194" s="9" t="str">
        <x:v>RU28 SPbCTF Сезон бинарной эксплуатации — Pwn 11: форматная строка
https://www.youtube.com/playlist?list=PLLguubeCGWoY12PWrD-oV3nZg3sjJNKxm
RU02 METANIT Язык Си — Форматированный ввод и вывод
https://metanit.com/c/tutorial/</x:v>
      </x:c>
      <x:c r="J194" s="9" t="str">
        <x:v>Понимаешь ABI и аргументы printf: ABI, аргументы printf и ограничения выбранной учебной сборки.</x:v>
      </x:c>
      <x:c r="K194" s="9" t="str">
        <x:v>Где данные стали управлять форматированием?</x:v>
      </x:c>
      <x:c r="L194" s="9" t="str">
        <x:v>2027-04-12_note.md: вход, ожидание, факт, вывод, контроль</x:v>
      </x:c>
      <x:c r="M194" s="12"/>
      <x:c r="N194" s="12"/>
      <x:c r="O194" s="12"/>
      <x:c r="P194" s="14"/>
      <x:c r="Q194" s="9" t="str">
        <x:v>RU28 RU02</x:v>
      </x:c>
      <x:c r="R194" s="10" t="d">
        <x:v>2027-04-13T00:00:00.000Z</x:v>
      </x:c>
      <x:c r="S194" s="10" t="d">
        <x:v>2027-04-19T00:00:00.000Z</x:v>
      </x:c>
      <x:c r="T194" s="10" t="d">
        <x:v>2027-05-10T00:00:00.000Z</x:v>
      </x:c>
    </x:row>
    <x:row r="195" ht="76" hidden="0" customHeight="1">
      <x:c r="A195" s="10" t="d">
        <x:v>2027-04-13T00:00:00.000Z</x:v>
      </x:c>
      <x:c r="B195" s="9" t="str">
        <x:v>вт</x:v>
      </x:c>
      <x:c r="C195" s="9" t="n">
        <x:v>33</x:v>
      </x:c>
      <x:c r="D195" s="9" t="str">
        <x:v>изучение</x:v>
      </x:c>
      <x:c r="E195" s="9" t="str">
        <x:v>Variadic printf и соответствие аргументов формату</x:v>
      </x:c>
      <x:c r="F195" s="9" t="str">
        <x:v>Разобрать: Спецификатор; тип аргумента; variadic-вызов; корректный и ошибочный собственный пример.</x:v>
      </x:c>
      <x:c r="G195" s="9" t="str">
        <x:v>Сравни корректные printf-варианты в собственной C-программе. Запиши types и число аргументов; опасный опыт выполняй только в CTF.</x:v>
      </x:c>
      <x:c r="H195" s="9" t="str">
        <x:v>Linux-VM, свой C/ELF, GDB/Ghidra</x:v>
      </x:c>
      <x:c r="I195" s="9" t="str">
        <x:v>RU28 SPbCTF Сезон бинарной эксплуатации — Pwn 11: форматная строка
https://www.youtube.com/playlist?list=PLLguubeCGWoY12PWrD-oV3nZg3sjJNKxm
RU02 METANIT Язык Си — Форматированный ввод и вывод
https://metanit.com/c/tutorial/</x:v>
      </x:c>
      <x:c r="J195" s="9" t="str">
        <x:v>ABI и предыдущий механизм: ABI, аргументы printf и ограничения выбранной учебной сборки.</x:v>
      </x:c>
      <x:c r="K195" s="9" t="str">
        <x:v>Почему спецификатор должен соответствовать переданному типу?</x:v>
      </x:c>
      <x:c r="L195" s="9" t="str">
        <x:v>2027-04-13_note.md: вход, ожидание, факт, вывод, контроль</x:v>
      </x:c>
      <x:c r="M195" s="12"/>
      <x:c r="N195" s="12"/>
      <x:c r="O195" s="12"/>
      <x:c r="P195" s="14"/>
      <x:c r="Q195" s="9" t="str">
        <x:v>RU28 RU02</x:v>
      </x:c>
      <x:c r="R195" s="10" t="d">
        <x:v>2027-04-14T00:00:00.000Z</x:v>
      </x:c>
      <x:c r="S195" s="10" t="d">
        <x:v>2027-04-20T00:00:00.000Z</x:v>
      </x:c>
      <x:c r="T195" s="10" t="d">
        <x:v>2027-05-11T00:00:00.000Z</x:v>
      </x:c>
    </x:row>
    <x:row r="196" ht="76" hidden="0" customHeight="1">
      <x:c r="A196" s="10" t="d">
        <x:v>2027-04-14T00:00:00.000Z</x:v>
      </x:c>
      <x:c r="B196" s="9" t="str">
        <x:v>ср</x:v>
      </x:c>
      <x:c r="C196" s="9" t="n">
        <x:v>33</x:v>
      </x:c>
      <x:c r="D196" s="9" t="str">
        <x:v>изучение</x:v>
      </x:c>
      <x:c r="E196" s="9" t="str">
        <x:v>Положение аргумента в выданной format-string lab</x:v>
      </x:c>
      <x:c r="F196" s="9" t="str">
        <x:v>Разобрать: ABI вызова; учебный argument index; реальные параметры; подтверждение наблюдением.</x:v>
      </x:c>
      <x:c r="G196" s="9" t="str">
        <x:v>В разрешённом CTF-lab найди предусмотренный учебный аргумент по заданию. Сохрани подтверждение и условия вызова.</x:v>
      </x:c>
      <x:c r="H196" s="9" t="str">
        <x:v>Linux-VM, свой C/ELF, GDB/Ghidra</x:v>
      </x:c>
      <x:c r="I196" s="9" t="str">
        <x:v>RU28 SPbCTF Сезон бинарной эксплуатации — Pwn 11: форматная строка
https://www.youtube.com/playlist?list=PLLguubeCGWoY12PWrD-oV3nZg3sjJNKxm
RU02 METANIT Язык Си — Форматированный ввод и вывод
https://metanit.com/c/tutorial/</x:v>
      </x:c>
      <x:c r="J196" s="9" t="str">
        <x:v>ABI и предыдущий механизм: ABI, аргументы printf и ограничения выбранной учебной сборки.</x:v>
      </x:c>
      <x:c r="K196" s="9" t="str">
        <x:v>Почему индекс аргумента не переносится автоматически?</x:v>
      </x:c>
      <x:c r="L196" s="9" t="str">
        <x:v>2027-04-14_note.md: вход, ожидание, факт, вывод, контроль</x:v>
      </x:c>
      <x:c r="M196" s="12"/>
      <x:c r="N196" s="12"/>
      <x:c r="O196" s="12"/>
      <x:c r="P196" s="14"/>
      <x:c r="Q196" s="9" t="str">
        <x:v>RU28 RU02</x:v>
      </x:c>
      <x:c r="R196" s="10" t="d">
        <x:v>2027-04-15T00:00:00.000Z</x:v>
      </x:c>
      <x:c r="S196" s="10" t="d">
        <x:v>2027-04-21T00:00:00.000Z</x:v>
      </x:c>
      <x:c r="T196" s="10" t="d">
        <x:v>2027-05-12T00:00:00.000Z</x:v>
      </x:c>
    </x:row>
    <x:row r="197" ht="76" hidden="0" customHeight="1">
      <x:c r="A197" s="10" t="d">
        <x:v>2027-04-15T00:00:00.000Z</x:v>
      </x:c>
      <x:c r="B197" s="9" t="str">
        <x:v>чт</x:v>
      </x:c>
      <x:c r="C197" s="9" t="n">
        <x:v>33</x:v>
      </x:c>
      <x:c r="D197" s="9" t="str">
        <x:v>изучение</x:v>
      </x:c>
      <x:c r="E197" s="9" t="str">
        <x:v>Границы чтения учебного маркера в format-lab</x:v>
      </x:c>
      <x:c r="F197" s="9" t="str">
        <x:v>Разобрать: Назначенный marker; источник наблюдения; доступная область; предел read primitive.</x:v>
      </x:c>
      <x:c r="G197" s="9" t="str">
        <x:v>В выделенном format-lab подтвердите чтение вымышленного marker. Запишите источник format и границы доступного наблюдения.</x:v>
      </x:c>
      <x:c r="H197" s="9" t="str">
        <x:v>Linux-VM, свой C/ELF, GDB/Ghidra</x:v>
      </x:c>
      <x:c r="I197" s="9" t="str">
        <x:v>RU28 SPbCTF Сезон бинарной эксплуатации — Pwn 11: форматная строка
https://www.youtube.com/playlist?list=PLLguubeCGWoY12PWrD-oV3nZg3sjJNKxm
RU02 METANIT Язык Си — Форматированный ввод и вывод
https://metanit.com/c/tutorial/</x:v>
      </x:c>
      <x:c r="J197" s="9" t="str">
        <x:v>ABI и предыдущий механизм: ABI, аргументы printf и ограничения выбранной учебной сборки.</x:v>
      </x:c>
      <x:c r="K197" s="9" t="str">
        <x:v>Какую область действительно удалось прочитать?</x:v>
      </x:c>
      <x:c r="L197" s="9" t="str">
        <x:v>2027-04-15_note.md: вход, ожидание, факт, вывод, контроль</x:v>
      </x:c>
      <x:c r="M197" s="12"/>
      <x:c r="N197" s="12"/>
      <x:c r="O197" s="12"/>
      <x:c r="P197" s="14"/>
      <x:c r="Q197" s="9" t="str">
        <x:v>RU28 RU02</x:v>
      </x:c>
      <x:c r="R197" s="10" t="d">
        <x:v>2027-04-16T00:00:00.000Z</x:v>
      </x:c>
      <x:c r="S197" s="10" t="d">
        <x:v>2027-04-22T00:00:00.000Z</x:v>
      </x:c>
      <x:c r="T197" s="10" t="d">
        <x:v>2027-05-13T00:00:00.000Z</x:v>
      </x:c>
    </x:row>
    <x:row r="198" ht="76" hidden="0" customHeight="1">
      <x:c r="A198" s="10" t="d">
        <x:v>2027-04-16T00:00:00.000Z</x:v>
      </x:c>
      <x:c r="B198" s="9" t="str">
        <x:v>пт</x:v>
      </x:c>
      <x:c r="C198" s="9" t="n">
        <x:v>33</x:v>
      </x:c>
      <x:c r="D198" s="9" t="str">
        <x:v>изучение</x:v>
      </x:c>
      <x:c r="E198" s="9" t="str">
        <x:v>Предусловия учебных read и write primitive</x:v>
      </x:c>
      <x:c r="F198" s="9" t="str">
        <x:v>Разобрать: Управляемые данные; назначение; значение; допустимая память и ограничения lab.</x:v>
      </x:c>
      <x:c r="G198" s="9" t="str">
        <x:v>По своему lab составь таблицу read/write предпосылок. Проверь только предусмотренный безопасный marker и отрицательный случай.</x:v>
      </x:c>
      <x:c r="H198" s="9" t="str">
        <x:v>Linux-VM, свой C/ELF, GDB/Ghidra</x:v>
      </x:c>
      <x:c r="I198" s="9" t="str">
        <x:v>RU28 SPbCTF Сезон бинарной эксплуатации — Pwn 11: форматная строка
https://www.youtube.com/playlist?list=PLLguubeCGWoY12PWrD-oV3nZg3sjJNKxm
RU02 METANIT Язык Си — Форматированный ввод и вывод
https://metanit.com/c/tutorial/</x:v>
      </x:c>
      <x:c r="J198" s="9" t="str">
        <x:v>ABI и предыдущий механизм: ABI, аргументы printf и ограничения выбранной учебной сборки.</x:v>
      </x:c>
      <x:c r="K198" s="9" t="str">
        <x:v>Какое условие ограничивает возможность записи?</x:v>
      </x:c>
      <x:c r="L198" s="9" t="str">
        <x:v>2027-04-16_note.md: вход, ожидание, факт, вывод, контроль</x:v>
      </x:c>
      <x:c r="M198" s="12"/>
      <x:c r="N198" s="12"/>
      <x:c r="O198" s="12"/>
      <x:c r="P198" s="14"/>
      <x:c r="Q198" s="9" t="str">
        <x:v>RU28 RU02</x:v>
      </x:c>
      <x:c r="R198" s="10" t="d">
        <x:v>2027-04-17T00:00:00.000Z</x:v>
      </x:c>
      <x:c r="S198" s="10" t="d">
        <x:v>2027-04-23T00:00:00.000Z</x:v>
      </x:c>
      <x:c r="T198" s="10" t="d">
        <x:v>2027-05-14T00:00:00.000Z</x:v>
      </x:c>
    </x:row>
    <x:row r="199" ht="76" hidden="0" customHeight="1">
      <x:c r="A199" s="10" t="d">
        <x:v>2027-04-17T00:00:00.000Z</x:v>
      </x:c>
      <x:c r="B199" s="9" t="str">
        <x:v>сб</x:v>
      </x:c>
      <x:c r="C199" s="9" t="n">
        <x:v>33</x:v>
      </x:c>
      <x:c r="D199" s="9" t="str">
        <x:v>повторение</x:v>
      </x:c>
      <x:c r="E199" s="9" t="str">
        <x:v>Исправление источника format и повторная проверка</x:v>
      </x:c>
      <x:c r="F199" s="9" t="str">
        <x:v>Повторить: Фиксированный формат; ввод как данные; обычное сообщение; исходный ошибочный случай.</x:v>
      </x:c>
      <x:c r="G199" s="9" t="str">
        <x:v>Исправь свой printf-пример, повтори обычный и специальный ввод. Добавь regression test и краткий отчёт.</x:v>
      </x:c>
      <x:c r="H199" s="9" t="str">
        <x:v>Linux-VM, свой C/ELF, GDB/Ghidra</x:v>
      </x:c>
      <x:c r="I199" s="9" t="str">
        <x:v>RU28 SPbCTF Сезон бинарной эксплуатации — Pwn 11: форматная строка
https://www.youtube.com/playlist?list=PLLguubeCGWoY12PWrD-oV3nZg3sjJNKxm
RU02 METANIT Язык Си — Форматированный ввод и вывод
https://metanit.com/c/tutorial/</x:v>
      </x:c>
      <x:c r="J199" s="9" t="str">
        <x:v>ABI и предыдущий механизм: ABI, аргументы printf и ограничения выбранной учебной сборки.</x:v>
      </x:c>
      <x:c r="K199" s="9" t="str">
        <x:v>Как подтвердить, что format теперь задаётся программой?</x:v>
      </x:c>
      <x:c r="L199" s="9" t="str">
        <x:v>2027-04-17_note.md: вход, ожидание, факт, вывод, контроль</x:v>
      </x:c>
      <x:c r="M199" s="12"/>
      <x:c r="N199" s="12"/>
      <x:c r="O199" s="12"/>
      <x:c r="P199" s="14"/>
      <x:c r="Q199" s="9" t="str">
        <x:v>RU28 RU02</x:v>
      </x:c>
      <x:c r="R199" s="10" t="d">
        <x:v>2027-04-19T00:00:00.000Z</x:v>
      </x:c>
      <x:c r="S199" s="10" t="d">
        <x:v>2027-04-24T00:00:00.000Z</x:v>
      </x:c>
      <x:c r="T199" s="10" t="d">
        <x:v>2027-05-15T00:00:00.000Z</x:v>
      </x:c>
    </x:row>
    <x:row r="200" ht="19" hidden="0" customHeight="1">
      <x:c r="A200" s="10" t="d">
        <x:v>2027-04-18T00:00:00.000Z</x:v>
      </x:c>
      <x:c r="B200" s="9" t="str">
        <x:v>вс</x:v>
      </x:c>
      <x:c r="C200" s="9" t="n">
        <x:v>33</x:v>
      </x:c>
      <x:c r="D200" s="9" t="str">
        <x:v>пауза</x:v>
      </x:c>
      <x:c r="E200" s="9" t="str">
        <x:v>Учебная пауза и восстановление</x:v>
      </x:c>
      <x:c r="F200" s="9" t="str">
        <x:v>Новых учебных задач нет.</x:v>
      </x:c>
      <x:c r="G200" s="9" t="str">
        <x:v>Практика не назначена</x:v>
      </x:c>
      <x:c r="H200" s="9" t="str">
        <x:v>Не требуется</x:v>
      </x:c>
      <x:c r="I200" s="9" t="str">
        <x:v>Чтение не назначено</x:v>
      </x:c>
      <x:c r="J200" s="9" t="str">
        <x:v>Учебная пауза; допуск и практику сегодня не проверять.</x:v>
      </x:c>
      <x:c r="K200" s="9" t="str">
        <x:v>Учебного зачёта сегодня нет.</x:v>
      </x:c>
      <x:c r="L200" s="9" t="str">
        <x:v>Учебного артефакта нет</x:v>
      </x:c>
      <x:c r="M200" s="12"/>
      <x:c r="N200" s="12"/>
      <x:c r="O200" s="12"/>
      <x:c r="P200" s="14"/>
      <x:c r="Q200" s="9" t="str">
        <x:v>пауза</x:v>
      </x:c>
      <x:c r="R200" s="10"/>
      <x:c r="S200" s="10"/>
      <x:c r="T200" s="10"/>
    </x:row>
    <x:row r="201" ht="88" hidden="0" customHeight="1">
      <x:c r="A201" s="10" t="d">
        <x:v>2027-04-19T00:00:00.000Z</x:v>
      </x:c>
      <x:c r="B201" s="9" t="str">
        <x:v>пн</x:v>
      </x:c>
      <x:c r="C201" s="9" t="n">
        <x:v>34</x:v>
      </x:c>
      <x:c r="D201" s="9" t="str">
        <x:v>изучение</x:v>
      </x:c>
      <x:c r="E201" s="9" t="str">
        <x:v>Сборка учебного бинарника и соответствующая libc</x:v>
      </x:c>
      <x:c r="F201" s="9" t="str">
        <x:v>Разобрать: Архитектура; версия и hash; символ библиотеки; его размещение в процессе.</x:v>
      </x:c>
      <x:c r="G201" s="9" t="str">
        <x:v>Зафиксируй учебный бинарник и выданную libc. Запиши hash, архитектуру и символы, нужные по заданию lab.</x:v>
      </x:c>
      <x:c r="H201" s="9" t="str">
        <x:v>Linux-VM, свой C/ELF, GDB/Ghidra</x:v>
      </x:c>
      <x:c r="I201" s="9" t="str">
        <x:v>RU28 SPbCTF Сезон бинарной эксплуатации — Pwn 7–8: libc и адреса
https://www.youtube.com/playlist?list=PLLguubeCGWoY12PWrD-oV3nZg3sjJNKxm
RU27 GNU Отладка с помощью GDB русский перевод — Состояние своей сборки
https://www.opennet.ru/docs/RUS/gdb/</x:v>
      </x:c>
      <x:c r="J201" s="9" t="str">
        <x:v>Освоены ABI, отладка и структура ELF: ABI, измеренное смещение, ELF и различия защиты; та же библиотека и сборка.</x:v>
      </x:c>
      <x:c r="K201" s="9" t="str">
        <x:v>Почему offset другой libc может дать неверный адрес?</x:v>
      </x:c>
      <x:c r="L201" s="9" t="str">
        <x:v>2027-04-19_note.md: вход, ожидание, факт, вывод, контроль</x:v>
      </x:c>
      <x:c r="M201" s="12"/>
      <x:c r="N201" s="12"/>
      <x:c r="O201" s="12"/>
      <x:c r="P201" s="14"/>
      <x:c r="Q201" s="9" t="str">
        <x:v>RU28 RU27</x:v>
      </x:c>
      <x:c r="R201" s="10" t="d">
        <x:v>2027-04-20T00:00:00.000Z</x:v>
      </x:c>
      <x:c r="S201" s="10" t="d">
        <x:v>2027-04-26T00:00:00.000Z</x:v>
      </x:c>
      <x:c r="T201" s="10" t="d">
        <x:v>2027-05-17T00:00:00.000Z</x:v>
      </x:c>
    </x:row>
    <x:row r="202" ht="88" hidden="0" customHeight="1">
      <x:c r="A202" s="10" t="d">
        <x:v>2027-04-20T00:00:00.000Z</x:v>
      </x:c>
      <x:c r="B202" s="9" t="str">
        <x:v>вт</x:v>
      </x:c>
      <x:c r="C202" s="9" t="n">
        <x:v>34</x:v>
      </x:c>
      <x:c r="D202" s="9" t="str">
        <x:v>изучение</x:v>
      </x:c>
      <x:c r="E202" s="9" t="str">
        <x:v>Источник адреса в учебной утечке</x:v>
      </x:c>
      <x:c r="F202" s="9" t="str">
        <x:v>Разобрать: Наблюдаемое значение; связь с symbol или mapping; подтверждение источника; неподтверждённое число.</x:v>
      </x:c>
      <x:c r="G202" s="9" t="str">
        <x:v>В выделенном lab установи источник учебной утечки. Сопоставь его с символом и сохранённой сборкой libc.</x:v>
      </x:c>
      <x:c r="H202" s="9" t="str">
        <x:v>Linux-VM, свой C/ELF, GDB/Ghidra</x:v>
      </x:c>
      <x:c r="I202" s="9" t="str">
        <x:v>RU28 SPbCTF Сезон бинарной эксплуатации — Pwn 7–8: libc и адреса
https://www.youtube.com/playlist?list=PLLguubeCGWoY12PWrD-oV3nZg3sjJNKxm
RU27 GNU Отладка с помощью GDB русский перевод — Состояние своей сборки
https://www.opennet.ru/docs/RUS/gdb/</x:v>
      </x:c>
      <x:c r="J202" s="9" t="str">
        <x:v>ABI, предыдущий механизм и предыдущий механизм: ABI, измеренное смещение, ELF и различия защиты; та же библиотека и сборка.</x:v>
      </x:c>
      <x:c r="K202" s="9" t="str">
        <x:v>Чем подтверждается происхождение утёкшего значения?</x:v>
      </x:c>
      <x:c r="L202" s="9" t="str">
        <x:v>2027-04-20_note.md: вход, ожидание, факт, вывод, контроль</x:v>
      </x:c>
      <x:c r="M202" s="12"/>
      <x:c r="N202" s="12"/>
      <x:c r="O202" s="12"/>
      <x:c r="P202" s="14"/>
      <x:c r="Q202" s="9" t="str">
        <x:v>RU28 RU27</x:v>
      </x:c>
      <x:c r="R202" s="10" t="d">
        <x:v>2027-04-21T00:00:00.000Z</x:v>
      </x:c>
      <x:c r="S202" s="10" t="d">
        <x:v>2027-04-27T00:00:00.000Z</x:v>
      </x:c>
      <x:c r="T202" s="10" t="d">
        <x:v>2027-05-18T00:00:00.000Z</x:v>
      </x:c>
    </x:row>
    <x:row r="203" ht="88" hidden="0" customHeight="1">
      <x:c r="A203" s="10" t="d">
        <x:v>2027-04-21T00:00:00.000Z</x:v>
      </x:c>
      <x:c r="B203" s="9" t="str">
        <x:v>ср</x:v>
      </x:c>
      <x:c r="C203" s="9" t="n">
        <x:v>34</x:v>
      </x:c>
      <x:c r="D203" s="9" t="str">
        <x:v>изучение</x:v>
      </x:c>
      <x:c r="E203" s="9" t="str">
        <x:v>Base библиотеки и offset той же сборки</x:v>
      </x:c>
      <x:c r="F203" s="9" t="str">
        <x:v>Разобрать: Подтверждённый адрес; matching symbol offset; арифметика base; сверка с mappings.</x:v>
      </x:c>
      <x:c r="G203" s="9" t="str">
        <x:v>Рассчитай base для выданной lab-сборки. Подпиши вычитаемый offset и проверь согласованность с mapping.</x:v>
      </x:c>
      <x:c r="H203" s="9" t="str">
        <x:v>Linux-VM, свой C/ELF, GDB/Ghidra</x:v>
      </x:c>
      <x:c r="I203" s="9" t="str">
        <x:v>RU28 SPbCTF Сезон бинарной эксплуатации — Pwn 7–8: libc и адреса
https://www.youtube.com/playlist?list=PLLguubeCGWoY12PWrD-oV3nZg3sjJNKxm
RU27 GNU Отладка с помощью GDB русский перевод — Состояние своей сборки
https://www.opennet.ru/docs/RUS/gdb/</x:v>
      </x:c>
      <x:c r="J203" s="9" t="str">
        <x:v>ABI, предыдущий механизм и предыдущий механизм: ABI, измеренное смещение, ELF и различия защиты; та же библиотека и сборка.</x:v>
      </x:c>
      <x:c r="K203" s="9" t="str">
        <x:v>Какой исходный факт нужен до вычисления base?</x:v>
      </x:c>
      <x:c r="L203" s="9" t="str">
        <x:v>2027-04-21_note.md: вход, ожидание, факт, вывод, контроль</x:v>
      </x:c>
      <x:c r="M203" s="12"/>
      <x:c r="N203" s="12"/>
      <x:c r="O203" s="12"/>
      <x:c r="P203" s="14"/>
      <x:c r="Q203" s="9" t="str">
        <x:v>RU28 RU27</x:v>
      </x:c>
      <x:c r="R203" s="10" t="d">
        <x:v>2027-04-22T00:00:00.000Z</x:v>
      </x:c>
      <x:c r="S203" s="10" t="d">
        <x:v>2027-04-28T00:00:00.000Z</x:v>
      </x:c>
      <x:c r="T203" s="10" t="d">
        <x:v>2027-05-19T00:00:00.000Z</x:v>
      </x:c>
    </x:row>
    <x:row r="204" ht="88" hidden="0" customHeight="1">
      <x:c r="A204" s="10" t="d">
        <x:v>2027-04-22T00:00:00.000Z</x:v>
      </x:c>
      <x:c r="B204" s="9" t="str">
        <x:v>чт</x:v>
      </x:c>
      <x:c r="C204" s="9" t="n">
        <x:v>34</x:v>
      </x:c>
      <x:c r="D204" s="9" t="str">
        <x:v>изучение</x:v>
      </x:c>
      <x:c r="E204" s="9" t="str">
        <x:v>Проверка модели размещения вторым адресом</x:v>
      </x:c>
      <x:c r="F204" s="9" t="str">
        <x:v>Разобрать: Второй независимый символ; соответствующий offset; согласованность base; контроль расхождения.</x:v>
      </x:c>
      <x:c r="G204" s="9" t="str">
        <x:v>По той же учебной libc вычисли второй адрес и сравни с разрешённым наблюдением lab. Сохрани расхождение или подтверждение.</x:v>
      </x:c>
      <x:c r="H204" s="9" t="str">
        <x:v>Linux-VM, свой C/ELF, GDB/Ghidra</x:v>
      </x:c>
      <x:c r="I204" s="9" t="str">
        <x:v>RU28 SPbCTF Сезон бинарной эксплуатации — Pwn 7–8: libc и адреса
https://www.youtube.com/playlist?list=PLLguubeCGWoY12PWrD-oV3nZg3sjJNKxm
RU27 GNU Отладка с помощью GDB русский перевод — Состояние своей сборки
https://www.opennet.ru/docs/RUS/gdb/</x:v>
      </x:c>
      <x:c r="J204" s="9" t="str">
        <x:v>ABI, предыдущий механизм и предыдущий механизм: ABI, измеренное смещение, ELF и различия защиты; та же библиотека и сборка.</x:v>
      </x:c>
      <x:c r="K204" s="9" t="str">
        <x:v>Какая проверка поможет выявить неверную libc?</x:v>
      </x:c>
      <x:c r="L204" s="9" t="str">
        <x:v>2027-04-22_note.md: вход, ожидание, факт, вывод, контроль</x:v>
      </x:c>
      <x:c r="M204" s="12"/>
      <x:c r="N204" s="12"/>
      <x:c r="O204" s="12"/>
      <x:c r="P204" s="14"/>
      <x:c r="Q204" s="9" t="str">
        <x:v>RU28 RU27</x:v>
      </x:c>
      <x:c r="R204" s="10" t="d">
        <x:v>2027-04-23T00:00:00.000Z</x:v>
      </x:c>
      <x:c r="S204" s="10" t="d">
        <x:v>2027-04-29T00:00:00.000Z</x:v>
      </x:c>
      <x:c r="T204" s="10" t="d">
        <x:v>2027-05-20T00:00:00.000Z</x:v>
      </x:c>
    </x:row>
    <x:row r="205" ht="88" hidden="0" customHeight="1">
      <x:c r="A205" s="10" t="d">
        <x:v>2027-04-23T00:00:00.000Z</x:v>
      </x:c>
      <x:c r="B205" s="9" t="str">
        <x:v>пт</x:v>
      </x:c>
      <x:c r="C205" s="9" t="n">
        <x:v>34</x:v>
      </x:c>
      <x:c r="D205" s="9" t="str">
        <x:v>изучение</x:v>
      </x:c>
      <x:c r="E205" s="9" t="str">
        <x:v>ABI и состояние для целевого учебного вызова</x:v>
      </x:c>
      <x:c r="F205" s="9" t="str">
        <x:v>Разобрать: Регистры аргументов; stack; выравнивание; предусловия выбранной функции.</x:v>
      </x:c>
      <x:c r="G205" s="9" t="str">
        <x:v>В разрешённом ret2libc-lab подпиши аргументы и выравнивание по заданию. Проверь предусмотренный учебный результат.</x:v>
      </x:c>
      <x:c r="H205" s="9" t="str">
        <x:v>Linux-VM, свой C/ELF, GDB/Ghidra</x:v>
      </x:c>
      <x:c r="I205" s="9" t="str">
        <x:v>RU28 SPbCTF Сезон бинарной эксплуатации — Pwn 7–8: libc и адреса
https://www.youtube.com/playlist?list=PLLguubeCGWoY12PWrD-oV3nZg3sjJNKxm
RU27 GNU Отладка с помощью GDB русский перевод — Состояние своей сборки
https://www.opennet.ru/docs/RUS/gdb/</x:v>
      </x:c>
      <x:c r="J205" s="9" t="str">
        <x:v>ABI, предыдущий механизм и предыдущий механизм: ABI, измеренное смещение, ELF и различия защиты; та же библиотека и сборка.</x:v>
      </x:c>
      <x:c r="K205" s="9" t="str">
        <x:v>Какая ABI-предпосылка может сломать вызов с правильным адресом?</x:v>
      </x:c>
      <x:c r="L205" s="9" t="str">
        <x:v>2027-04-23_note.md: вход, ожидание, факт, вывод, контроль</x:v>
      </x:c>
      <x:c r="M205" s="12"/>
      <x:c r="N205" s="12"/>
      <x:c r="O205" s="12"/>
      <x:c r="P205" s="14"/>
      <x:c r="Q205" s="9" t="str">
        <x:v>RU28 RU27</x:v>
      </x:c>
      <x:c r="R205" s="10" t="d">
        <x:v>2027-04-24T00:00:00.000Z</x:v>
      </x:c>
      <x:c r="S205" s="10" t="d">
        <x:v>2027-04-30T00:00:00.000Z</x:v>
      </x:c>
      <x:c r="T205" s="10" t="d">
        <x:v>2027-05-21T00:00:00.000Z</x:v>
      </x:c>
    </x:row>
    <x:row r="206" ht="88" hidden="0" customHeight="1">
      <x:c r="A206" s="10" t="d">
        <x:v>2027-04-24T00:00:00.000Z</x:v>
      </x:c>
      <x:c r="B206" s="9" t="str">
        <x:v>сб</x:v>
      </x:c>
      <x:c r="C206" s="9" t="n">
        <x:v>34</x:v>
      </x:c>
      <x:c r="D206" s="9" t="str">
        <x:v>повторение</x:v>
      </x:c>
      <x:c r="E206" s="9" t="str">
        <x:v>Воспроизводимость ограниченного учебного PoC</x:v>
      </x:c>
      <x:c r="F206" s="9" t="str">
        <x:v>Повторить: Версии ELF и libc; договор ввода; защита сборки; повтор из одинакового snapshot.</x:v>
      </x:c>
      <x:c r="G206" s="9" t="str">
        <x:v>Оформи минимальный учебный PoC и два запуска из snapshot. Отдельно укажи, какие условия нельзя переносить на другую цель.</x:v>
      </x:c>
      <x:c r="H206" s="9" t="str">
        <x:v>Linux-VM, свой C/ELF, GDB/Ghidra</x:v>
      </x:c>
      <x:c r="I206" s="9" t="str">
        <x:v>RU28 SPbCTF Сезон бинарной эксплуатации — Pwn 7–8: libc и адреса
https://www.youtube.com/playlist?list=PLLguubeCGWoY12PWrD-oV3nZg3sjJNKxm
RU27 GNU Отладка с помощью GDB русский перевод — Состояние своей сборки
https://www.opennet.ru/docs/RUS/gdb/</x:v>
      </x:c>
      <x:c r="J206" s="9" t="str">
        <x:v>ABI, предыдущий механизм и предыдущий механизм: ABI, измеренное смещение, ELF и различия защиты; та же библиотека и сборка.</x:v>
      </x:c>
      <x:c r="K206" s="9" t="str">
        <x:v>Что нужно определить заново при изменении среды?</x:v>
      </x:c>
      <x:c r="L206" s="9" t="str">
        <x:v>2027-04-24_note.md: вход, ожидание, факт, вывод, контроль</x:v>
      </x:c>
      <x:c r="M206" s="12"/>
      <x:c r="N206" s="12"/>
      <x:c r="O206" s="12"/>
      <x:c r="P206" s="14"/>
      <x:c r="Q206" s="9" t="str">
        <x:v>RU28 RU27</x:v>
      </x:c>
      <x:c r="R206" s="10" t="d">
        <x:v>2027-04-26T00:00:00.000Z</x:v>
      </x:c>
      <x:c r="S206" s="10" t="d">
        <x:v>2027-05-01T00:00:00.000Z</x:v>
      </x:c>
      <x:c r="T206" s="10" t="d">
        <x:v>2027-05-31T00:00:00.000Z</x:v>
      </x:c>
    </x:row>
    <x:row r="207" ht="19" hidden="0" customHeight="1">
      <x:c r="A207" s="10" t="d">
        <x:v>2027-04-25T00:00:00.000Z</x:v>
      </x:c>
      <x:c r="B207" s="9" t="str">
        <x:v>вс</x:v>
      </x:c>
      <x:c r="C207" s="9" t="n">
        <x:v>34</x:v>
      </x:c>
      <x:c r="D207" s="9" t="str">
        <x:v>пауза</x:v>
      </x:c>
      <x:c r="E207" s="9" t="str">
        <x:v>Учебная пауза и восстановление</x:v>
      </x:c>
      <x:c r="F207" s="9" t="str">
        <x:v>Новых учебных задач нет.</x:v>
      </x:c>
      <x:c r="G207" s="9" t="str">
        <x:v>Практика не назначена</x:v>
      </x:c>
      <x:c r="H207" s="9" t="str">
        <x:v>Не требуется</x:v>
      </x:c>
      <x:c r="I207" s="9" t="str">
        <x:v>Чтение не назначено</x:v>
      </x:c>
      <x:c r="J207" s="9" t="str">
        <x:v>Учебная пауза; допуск и практику сегодня не проверять.</x:v>
      </x:c>
      <x:c r="K207" s="9" t="str">
        <x:v>Учебного зачёта сегодня нет.</x:v>
      </x:c>
      <x:c r="L207" s="9" t="str">
        <x:v>Учебного артефакта нет</x:v>
      </x:c>
      <x:c r="M207" s="12"/>
      <x:c r="N207" s="12"/>
      <x:c r="O207" s="12"/>
      <x:c r="P207" s="14"/>
      <x:c r="Q207" s="9" t="str">
        <x:v>пауза</x:v>
      </x:c>
      <x:c r="R207" s="10"/>
      <x:c r="S207" s="10"/>
      <x:c r="T207" s="10"/>
    </x:row>
    <x:row r="208" ht="76" hidden="0" customHeight="1">
      <x:c r="A208" s="10" t="d">
        <x:v>2027-04-26T00:00:00.000Z</x:v>
      </x:c>
      <x:c r="B208" s="9" t="str">
        <x:v>пн</x:v>
      </x:c>
      <x:c r="C208" s="9" t="n">
        <x:v>35</x:v>
      </x:c>
      <x:c r="D208" s="9" t="str">
        <x:v>изучение</x:v>
      </x:c>
      <x:c r="E208" s="9" t="str">
        <x:v>Учебная ROP-цепочка ret2win или split</x:v>
      </x:c>
      <x:c r="F208" s="9" t="str">
        <x:v>Разобрать: Разрешённый target; инструкции gadget; состояние регистров; состояние stack по шагам.</x:v>
      </x:c>
      <x:c r="G208" s="9" t="str">
        <x:v>В ROP Emporium выбери завершённый ret2win/split по своим prerequisites. Нарисуй chain plan до запуска.</x:v>
      </x:c>
      <x:c r="H208" s="9" t="str">
        <x:v>Linux-VM, свой C/ELF, GDB/Ghidra</x:v>
      </x:c>
      <x:c r="I208" s="9" t="str">
        <x:v>RU28 SPbCTF Сезон бинарной эксплуатации — Pwn 10: гаджеты и цепочки
https://www.youtube.com/playlist?list=PLLguubeCGWoY12PWrD-oV3nZg3sjJNKxm
RU04 METANIT Ассемблер GAS x86 64 — Стек; функции; регистры
https://metanit.com/assembler/gas/</x:v>
      </x:c>
      <x:c r="J208" s="9" t="str">
        <x:v>Освоена модель адресов libc: подтверждены источник адреса, библиотека и база; объяснены аргументы вызова и выравнивание стека.</x:v>
      </x:c>
      <x:c r="K208" s="9" t="str">
        <x:v>Какие изменения состояния выполняет каждый шаг chain?</x:v>
      </x:c>
      <x:c r="L208" s="9" t="str">
        <x:v>2027-04-26_note.md: вход, ожидание, факт, вывод, контроль</x:v>
      </x:c>
      <x:c r="M208" s="12"/>
      <x:c r="N208" s="12"/>
      <x:c r="O208" s="12"/>
      <x:c r="P208" s="14"/>
      <x:c r="Q208" s="9" t="str">
        <x:v>RU28 RU04</x:v>
      </x:c>
      <x:c r="R208" s="10" t="d">
        <x:v>2027-04-27T00:00:00.000Z</x:v>
      </x:c>
      <x:c r="S208" s="10" t="d">
        <x:v>2027-05-03T00:00:00.000Z</x:v>
      </x:c>
      <x:c r="T208" s="10" t="d">
        <x:v>2027-05-31T00:00:00.000Z</x:v>
      </x:c>
    </x:row>
    <x:row r="209" ht="76" hidden="0" customHeight="1">
      <x:c r="A209" s="10" t="d">
        <x:v>2027-04-27T00:00:00.000Z</x:v>
      </x:c>
      <x:c r="B209" s="9" t="str">
        <x:v>вт</x:v>
      </x:c>
      <x:c r="C209" s="9" t="n">
        <x:v>35</x:v>
      </x:c>
      <x:c r="D209" s="9" t="str">
        <x:v>изучение</x:v>
      </x:c>
      <x:c r="E209" s="9" t="str">
        <x:v>Потребление stack инструкциями pop и ret</x:v>
      </x:c>
      <x:c r="F209" s="9" t="str">
        <x:v>Разобрать: Элемент stack; действие pop; адрес возврата ret; смещение последующих элементов цепочки.</x:v>
      </x:c>
      <x:c r="G209" s="9" t="str">
        <x:v>Для собственной учебной chain составь таблицу stack slots и всех pop/ret. Проверь её по остановкам отладчика.</x:v>
      </x:c>
      <x:c r="H209" s="9" t="str">
        <x:v>Linux-VM, свой C/ELF, GDB/Ghidra</x:v>
      </x:c>
      <x:c r="I209" s="9" t="str">
        <x:v>RU28 SPbCTF Сезон бинарной эксплуатации — Pwn 10: гаджеты и цепочки
https://www.youtube.com/playlist?list=PLLguubeCGWoY12PWrD-oV3nZg3sjJNKxm
RU04 METANIT Ассемблер GAS x86 64 — Стек; функции; регистры
https://metanit.com/assembler/gas/</x:v>
      </x:c>
      <x:c r="J209" s="9" t="str">
        <x:v>предыдущий механизм: подтверждены источник адреса, библиотека и база; объяснены аргументы вызова и выравнивание стека.</x:v>
      </x:c>
      <x:c r="K209" s="9" t="str">
        <x:v>Какой шаг изменяет позицию следующего элемента?</x:v>
      </x:c>
      <x:c r="L209" s="9" t="str">
        <x:v>2027-04-27_note.md: вход, ожидание, факт, вывод, контроль</x:v>
      </x:c>
      <x:c r="M209" s="12"/>
      <x:c r="N209" s="12"/>
      <x:c r="O209" s="12"/>
      <x:c r="P209" s="14"/>
      <x:c r="Q209" s="9" t="str">
        <x:v>RU28 RU04</x:v>
      </x:c>
      <x:c r="R209" s="10" t="d">
        <x:v>2027-04-28T00:00:00.000Z</x:v>
      </x:c>
      <x:c r="S209" s="10" t="d">
        <x:v>2027-05-04T00:00:00.000Z</x:v>
      </x:c>
      <x:c r="T209" s="10" t="d">
        <x:v>2027-05-31T00:00:00.000Z</x:v>
      </x:c>
    </x:row>
    <x:row r="210" ht="76" hidden="0" customHeight="1">
      <x:c r="A210" s="10" t="d">
        <x:v>2027-04-28T00:00:00.000Z</x:v>
      </x:c>
      <x:c r="B210" s="9" t="str">
        <x:v>ср</x:v>
      </x:c>
      <x:c r="C210" s="9" t="n">
        <x:v>35</x:v>
      </x:c>
      <x:c r="D210" s="9" t="str">
        <x:v>изучение</x:v>
      </x:c>
      <x:c r="E210" s="9" t="str">
        <x:v>Аргументы учебной задачи callme и договор вызова</x:v>
      </x:c>
      <x:c r="F210" s="9" t="str">
        <x:v>Разобрать: Предусмотренные функциями аргументы; ABI; сохраняемые регистры; порядок разрешённых вызовов.</x:v>
      </x:c>
      <x:c r="G210" s="9" t="str">
        <x:v>В выданном callme-lab подпиши аргументы каждого вызова. Сверь фактические регистры перед переходом и учебный итог.</x:v>
      </x:c>
      <x:c r="H210" s="9" t="str">
        <x:v>Linux-VM, свой C/ELF, GDB/Ghidra</x:v>
      </x:c>
      <x:c r="I210" s="9" t="str">
        <x:v>RU28 SPbCTF Сезон бинарной эксплуатации — Pwn 10: гаджеты и цепочки
https://www.youtube.com/playlist?list=PLLguubeCGWoY12PWrD-oV3nZg3sjJNKxm
RU04 METANIT Ассемблер GAS x86 64 — Стек; функции; регистры
https://metanit.com/assembler/gas/</x:v>
      </x:c>
      <x:c r="J210" s="9" t="str">
        <x:v>предыдущий механизм: подтверждены источник адреса, библиотека и база; объяснены аргументы вызова и выравнивание стека.</x:v>
      </x:c>
      <x:c r="K210" s="9" t="str">
        <x:v>Какие регистры изменились между двумя вызовами?</x:v>
      </x:c>
      <x:c r="L210" s="9" t="str">
        <x:v>2027-04-28_note.md: вход, ожидание, факт, вывод, контроль</x:v>
      </x:c>
      <x:c r="M210" s="12"/>
      <x:c r="N210" s="12"/>
      <x:c r="O210" s="12"/>
      <x:c r="P210" s="14"/>
      <x:c r="Q210" s="9" t="str">
        <x:v>RU28 RU04</x:v>
      </x:c>
      <x:c r="R210" s="10" t="d">
        <x:v>2027-04-29T00:00:00.000Z</x:v>
      </x:c>
      <x:c r="S210" s="10" t="d">
        <x:v>2027-05-05T00:00:00.000Z</x:v>
      </x:c>
      <x:c r="T210" s="10" t="d">
        <x:v>2027-05-31T00:00:00.000Z</x:v>
      </x:c>
    </x:row>
    <x:row r="211" ht="76" hidden="0" customHeight="1">
      <x:c r="A211" s="10" t="d">
        <x:v>2027-04-29T00:00:00.000Z</x:v>
      </x:c>
      <x:c r="B211" s="9" t="str">
        <x:v>чт</x:v>
      </x:c>
      <x:c r="C211" s="9" t="n">
        <x:v>35</x:v>
      </x:c>
      <x:c r="D211" s="9" t="str">
        <x:v>изучение</x:v>
      </x:c>
      <x:c r="E211" s="9" t="str">
        <x:v>Учебная задача write4 и допустимая область памяти</x:v>
      </x:c>
      <x:c r="F211" s="9" t="str">
        <x:v>Разобрать: Writable-область; порядок bytes; эффект разрешённого gadget; проверка marker до и после.</x:v>
      </x:c>
      <x:c r="G211" s="9" t="str">
        <x:v>По условиям ROP Emporium write4 выбери разрешённую область. Сохрани права, адресное представление и marker до/после.</x:v>
      </x:c>
      <x:c r="H211" s="9" t="str">
        <x:v>Linux-VM, свой C/ELF, GDB/Ghidra</x:v>
      </x:c>
      <x:c r="I211" s="9" t="str">
        <x:v>RU28 SPbCTF Сезон бинарной эксплуатации — Pwn 10: гаджеты и цепочки
https://www.youtube.com/playlist?list=PLLguubeCGWoY12PWrD-oV3nZg3sjJNKxm
RU04 METANIT Ассемблер GAS x86 64 — Стек; функции; регистры
https://metanit.com/assembler/gas/</x:v>
      </x:c>
      <x:c r="J211" s="9" t="str">
        <x:v>предыдущий механизм: подтверждены источник адреса, библиотека и база; объяснены аргументы вызова и выравнивание стека.</x:v>
      </x:c>
      <x:c r="K211" s="9" t="str">
        <x:v>Как подтверждены права и границы выбранной области?</x:v>
      </x:c>
      <x:c r="L211" s="9" t="str">
        <x:v>2027-04-29_note.md: вход, ожидание, факт, вывод, контроль</x:v>
      </x:c>
      <x:c r="M211" s="12"/>
      <x:c r="N211" s="12"/>
      <x:c r="O211" s="12"/>
      <x:c r="P211" s="14"/>
      <x:c r="Q211" s="9" t="str">
        <x:v>RU28 RU04</x:v>
      </x:c>
      <x:c r="R211" s="10" t="d">
        <x:v>2027-04-30T00:00:00.000Z</x:v>
      </x:c>
      <x:c r="S211" s="10" t="d">
        <x:v>2027-05-06T00:00:00.000Z</x:v>
      </x:c>
      <x:c r="T211" s="10" t="d">
        <x:v>2027-05-31T00:00:00.000Z</x:v>
      </x:c>
    </x:row>
    <x:row r="212" ht="76" hidden="0" customHeight="1">
      <x:c r="A212" s="10" t="d">
        <x:v>2027-04-30T00:00:00.000Z</x:v>
      </x:c>
      <x:c r="B212" s="9" t="str">
        <x:v>пт</x:v>
      </x:c>
      <x:c r="C212" s="9" t="n">
        <x:v>35</x:v>
      </x:c>
      <x:c r="D212" s="9" t="str">
        <x:v>изучение</x:v>
      </x:c>
      <x:c r="E212" s="9" t="str">
        <x:v>Выравнивание stack и ограничения bytes в ROP-lab</x:v>
      </x:c>
      <x:c r="F212" s="9" t="str">
        <x:v>Разобрать: Stack alignment; bad bytes выбранной задачи; преобразование input parser; два независимых ограничения.</x:v>
      </x:c>
      <x:c r="G212" s="9" t="str">
        <x:v>В своём lab проверь одно выравнивание и принятое представление input. Сравни с намеренно неверным вариантом.</x:v>
      </x:c>
      <x:c r="H212" s="9" t="str">
        <x:v>Linux-VM, свой C/ELF, GDB/Ghidra</x:v>
      </x:c>
      <x:c r="I212" s="9" t="str">
        <x:v>RU28 SPbCTF Сезон бинарной эксплуатации — Pwn 10: гаджеты и цепочки
https://www.youtube.com/playlist?list=PLLguubeCGWoY12PWrD-oV3nZg3sjJNKxm
RU04 METANIT Ассемблер GAS x86 64 — Стек; функции; регистры
https://metanit.com/assembler/gas/</x:v>
      </x:c>
      <x:c r="J212" s="9" t="str">
        <x:v>предыдущий механизм: подтверждены источник адреса, библиотека и база; объяснены аргументы вызова и выравнивание стека.</x:v>
      </x:c>
      <x:c r="K212" s="9" t="str">
        <x:v>Что сломалось раньше: доставка bytes или ABI вызова?</x:v>
      </x:c>
      <x:c r="L212" s="9" t="str">
        <x:v>2027-04-30_note.md: вход, ожидание, факт, вывод, контроль</x:v>
      </x:c>
      <x:c r="M212" s="12"/>
      <x:c r="N212" s="12"/>
      <x:c r="O212" s="12"/>
      <x:c r="P212" s="14"/>
      <x:c r="Q212" s="9" t="str">
        <x:v>RU28 RU04</x:v>
      </x:c>
      <x:c r="R212" s="10" t="d">
        <x:v>2027-05-01T00:00:00.000Z</x:v>
      </x:c>
      <x:c r="S212" s="10" t="d">
        <x:v>2027-05-07T00:00:00.000Z</x:v>
      </x:c>
      <x:c r="T212" s="10" t="d">
        <x:v>2027-05-31T00:00:00.000Z</x:v>
      </x:c>
    </x:row>
    <x:row r="213" ht="76" hidden="0" customHeight="1">
      <x:c r="A213" s="10" t="d">
        <x:v>2027-05-01T00:00:00.000Z</x:v>
      </x:c>
      <x:c r="B213" s="9" t="str">
        <x:v>сб</x:v>
      </x:c>
      <x:c r="C213" s="9" t="n">
        <x:v>35</x:v>
      </x:c>
      <x:c r="D213" s="9" t="str">
        <x:v>повторение</x:v>
      </x:c>
      <x:c r="E213" s="9" t="str">
        <x:v>План ROP-цепочки и контролируемый неверный вариант</x:v>
      </x:c>
      <x:c r="F213" s="9" t="str">
        <x:v>Повторить: Ожидаемое состояние каждого шага; положительный результат; намеренно нарушенное условие; объяснение поломки.</x:v>
      </x:c>
      <x:c r="G213" s="9" t="str">
        <x:v>Повтори свою chain и измени один элемент по плану. Предскажи сбой, сравни с наблюдением и верни рабочий вариант.</x:v>
      </x:c>
      <x:c r="H213" s="9" t="str">
        <x:v>Linux-VM, свой C/ELF, GDB/Ghidra</x:v>
      </x:c>
      <x:c r="I213" s="9" t="str">
        <x:v>RU28 SPbCTF Сезон бинарной эксплуатации — Pwn 10: гаджеты и цепочки
https://www.youtube.com/playlist?list=PLLguubeCGWoY12PWrD-oV3nZg3sjJNKxm
RU04 METANIT Ассемблер GAS x86 64 — Стек; функции; регистры
https://metanit.com/assembler/gas/</x:v>
      </x:c>
      <x:c r="J213" s="9" t="str">
        <x:v>предыдущий механизм: подтверждены источник адреса, библиотека и база; объяснены аргументы вызова и выравнивание стека.</x:v>
      </x:c>
      <x:c r="K213" s="9" t="str">
        <x:v>Какое наблюдение подтвердило назначение изменённого элемента?</x:v>
      </x:c>
      <x:c r="L213" s="9" t="str">
        <x:v>2027-05-01_note.md: вход, ожидание, факт, вывод, контроль</x:v>
      </x:c>
      <x:c r="M213" s="12"/>
      <x:c r="N213" s="12"/>
      <x:c r="O213" s="12"/>
      <x:c r="P213" s="14"/>
      <x:c r="Q213" s="9" t="str">
        <x:v>RU28 RU04</x:v>
      </x:c>
      <x:c r="R213" s="10" t="d">
        <x:v>2027-05-03T00:00:00.000Z</x:v>
      </x:c>
      <x:c r="S213" s="10" t="d">
        <x:v>2027-05-10T00:00:00.000Z</x:v>
      </x:c>
      <x:c r="T213" s="10" t="d">
        <x:v>2027-05-31T00:00:00.000Z</x:v>
      </x:c>
    </x:row>
    <x:row r="214" ht="19" hidden="0" customHeight="1">
      <x:c r="A214" s="10" t="d">
        <x:v>2027-05-02T00:00:00.000Z</x:v>
      </x:c>
      <x:c r="B214" s="9" t="str">
        <x:v>вс</x:v>
      </x:c>
      <x:c r="C214" s="9" t="n">
        <x:v>35</x:v>
      </x:c>
      <x:c r="D214" s="9" t="str">
        <x:v>пауза</x:v>
      </x:c>
      <x:c r="E214" s="9" t="str">
        <x:v>Учебная пауза и восстановление</x:v>
      </x:c>
      <x:c r="F214" s="9" t="str">
        <x:v>Новых учебных задач нет.</x:v>
      </x:c>
      <x:c r="G214" s="9" t="str">
        <x:v>Практика не назначена</x:v>
      </x:c>
      <x:c r="H214" s="9" t="str">
        <x:v>Не требуется</x:v>
      </x:c>
      <x:c r="I214" s="9" t="str">
        <x:v>Чтение не назначено</x:v>
      </x:c>
      <x:c r="J214" s="9" t="str">
        <x:v>Учебная пауза; допуск и практику сегодня не проверять.</x:v>
      </x:c>
      <x:c r="K214" s="9" t="str">
        <x:v>Учебного зачёта сегодня нет.</x:v>
      </x:c>
      <x:c r="L214" s="9" t="str">
        <x:v>Учебного артефакта нет</x:v>
      </x:c>
      <x:c r="M214" s="12"/>
      <x:c r="N214" s="12"/>
      <x:c r="O214" s="12"/>
      <x:c r="P214" s="14"/>
      <x:c r="Q214" s="9" t="str">
        <x:v>пауза</x:v>
      </x:c>
      <x:c r="R214" s="10"/>
      <x:c r="S214" s="10"/>
      <x:c r="T214" s="10"/>
    </x:row>
    <x:row r="215" ht="100" hidden="0" customHeight="1">
      <x:c r="A215" s="10" t="d">
        <x:v>2027-05-03T00:00:00.000Z</x:v>
      </x:c>
      <x:c r="B215" s="9" t="str">
        <x:v>пн</x:v>
      </x:c>
      <x:c r="C215" s="9" t="n">
        <x:v>36</x:v>
      </x:c>
      <x:c r="D215" s="9" t="str">
        <x:v>изучение</x:v>
      </x:c>
      <x:c r="E215" s="9" t="str">
        <x:v>Heap allocator — шаг 1 из 5</x:v>
      </x:c>
      <x:c r="F215" s="9" t="str">
        <x:v>Изучить и проверить: Владение объектом; выделение и освобождение; layout конкретного allocator.</x:v>
      </x:c>
      <x:c r="G215" s="9" t="str">
        <x:v>Открой Heap allocator, сохрани файл и условие. Определи архитектуру и функции выделения памяти; выпиши известное о реализации. При недоступности — локальная замена из карточки R176 в документе 12.
Локальная замена: На собственном примере 05_lifetime.c и его исправлении нарисуй владельца, выделение, освобождение и допустимое время обращения. Сверь диагностику с нормальным жизненным циклом; не делай вывод о любом allocator. Продолжай один и тот же локальный пример по шагу текущего дня.</x:v>
      </x:c>
      <x:c r="H215" s="9" t="str">
        <x:v>Выданный файл, Ghidra, GDB, свой C или Rust пример</x:v>
      </x:c>
      <x:c r="I215" s="9" t="str">
        <x:v>RU02 METANIT Язык Си — Динамическая память и указатели
https://metanit.com/c/tutorial/
RU26 METANIT Rust — Владение перемещение заимствование
https://metanit.com/rust/tutorial/
RU28 SPbCTF Сезон бинарной эксплуатации — Pwn 12–17: устройство кучи и жизненный цикл
https://www.youtube.com/playlist?list=PLLguubeCGWoY12PWrD-oV3nZg3sjJNKxm</x:v>
      </x:c>
      <x:c r="J215" s="9" t="str">
        <x:v>C lifetime и указатели; GDB Ghidra; обычный и граничный ввод. Сначала выяснить, какой allocator исследуется.</x:v>
      </x:c>
      <x:c r="K215" s="9" t="str">
        <x:v>Что подтверждено собственным наблюдением, какой неверный контроль это ограничивает и смогу ли я повторить шаг без ИИ?</x:v>
      </x:c>
      <x:c r="L215" s="9" t="str">
        <x:v>2027-05-03_R176_note.md: вход, версия, наблюдение, контроль, подсказки и следующий шаг</x:v>
      </x:c>
      <x:c r="M215" s="12"/>
      <x:c r="N215" s="12"/>
      <x:c r="O215" s="12"/>
      <x:c r="P215" s="14"/>
      <x:c r="Q215" s="9" t="str">
        <x:v>R176 Heap allocator; шаг 1/5
https://ringzer0ctf.com/challenges/176</x:v>
      </x:c>
      <x:c r="R215" s="10" t="d">
        <x:v>2027-05-04T00:00:00.000Z</x:v>
      </x:c>
      <x:c r="S215" s="10" t="d">
        <x:v>2027-05-10T00:00:00.000Z</x:v>
      </x:c>
      <x:c r="T215" s="10" t="d">
        <x:v>2027-05-31T00:00:00.000Z</x:v>
      </x:c>
    </x:row>
    <x:row r="216" ht="100" hidden="0" customHeight="1">
      <x:c r="A216" s="10" t="d">
        <x:v>2027-05-04T00:00:00.000Z</x:v>
      </x:c>
      <x:c r="B216" s="9" t="str">
        <x:v>вт</x:v>
      </x:c>
      <x:c r="C216" s="9" t="n">
        <x:v>36</x:v>
      </x:c>
      <x:c r="D216" s="9" t="str">
        <x:v>изучение</x:v>
      </x:c>
      <x:c r="E216" s="9" t="str">
        <x:v>Heap allocator — шаг 2 из 5</x:v>
      </x:c>
      <x:c r="F216" s="9" t="str">
        <x:v>Изучить и проверить: Владение объектом; выделение и освобождение; layout конкретного allocator.</x:v>
      </x:c>
      <x:c r="G216" s="9" t="str">
        <x:v>Исследуй один объект: размер, владелец, время создания и доступные обращения. Раздели пользовательские поля и служебную структуру. При недоступности — локальная замена из карточки R176 в документе 12.
Локальная замена: На собственном примере 05_lifetime.c и его исправлении нарисуй владельца, выделение, освобождение и допустимое время обращения. Сверь диагностику с нормальным жизненным циклом; не делай вывод о любом allocator. Продолжай один и тот же локальный пример по шагу текущего дня.</x:v>
      </x:c>
      <x:c r="H216" s="9" t="str">
        <x:v>Выданный файл, Ghidra, GDB, свой C или Rust пример</x:v>
      </x:c>
      <x:c r="I216" s="9" t="str">
        <x:v>RU02 METANIT Язык Си — Динамическая память и указатели
https://metanit.com/c/tutorial/
RU26 METANIT Rust — Владение перемещение заимствование
https://metanit.com/rust/tutorial/
RU28 SPbCTF Сезон бинарной эксплуатации — Pwn 12–17: устройство кучи и жизненный цикл
https://www.youtube.com/playlist?list=PLLguubeCGWoY12PWrD-oV3nZg3sjJNKxm</x:v>
      </x:c>
      <x:c r="J216" s="9" t="str">
        <x:v>C lifetime и указатели; GDB Ghidra; обычный и граничный ввод. Сначала выяснить, какой allocator исследуется.</x:v>
      </x:c>
      <x:c r="K216" s="9" t="str">
        <x:v>Что подтверждено собственным наблюдением, какой неверный контроль это ограничивает и смогу ли я повторить шаг без ИИ?</x:v>
      </x:c>
      <x:c r="L216" s="9" t="str">
        <x:v>2027-05-04_R176_note.md: вход, версия, наблюдение, контроль, подсказки и следующий шаг</x:v>
      </x:c>
      <x:c r="M216" s="12"/>
      <x:c r="N216" s="12"/>
      <x:c r="O216" s="12"/>
      <x:c r="P216" s="14"/>
      <x:c r="Q216" s="9" t="str">
        <x:v>R176 Heap allocator; шаг 2/5
https://ringzer0ctf.com/challenges/176</x:v>
      </x:c>
      <x:c r="R216" s="10" t="d">
        <x:v>2027-05-05T00:00:00.000Z</x:v>
      </x:c>
      <x:c r="S216" s="10" t="d">
        <x:v>2027-05-11T00:00:00.000Z</x:v>
      </x:c>
      <x:c r="T216" s="10" t="d">
        <x:v>2027-06-01T00:00:00.000Z</x:v>
      </x:c>
    </x:row>
    <x:row r="217" ht="100" hidden="0" customHeight="1">
      <x:c r="A217" s="10" t="d">
        <x:v>2027-05-05T00:00:00.000Z</x:v>
      </x:c>
      <x:c r="B217" s="9" t="str">
        <x:v>ср</x:v>
      </x:c>
      <x:c r="C217" s="9" t="n">
        <x:v>36</x:v>
      </x:c>
      <x:c r="D217" s="9" t="str">
        <x:v>изучение</x:v>
      </x:c>
      <x:c r="E217" s="9" t="str">
        <x:v>Heap allocator — шаг 3 из 5</x:v>
      </x:c>
      <x:c r="F217" s="9" t="str">
        <x:v>Изучить и проверить: Владение объектом; выделение и освобождение; layout конкретного allocator.</x:v>
      </x:c>
      <x:c r="G217" s="9" t="str">
        <x:v>Проследи выделение и освобождение. Нарисуй жизненный цикл и сопоставь его с правилом владения из RU26; полный курс Rust не нужен. При недоступности — локальная замена из карточки R176 в документе 12.
Локальная замена: На собственном примере 05_lifetime.c и его исправлении нарисуй владельца, выделение, освобождение и допустимое время обращения. Сверь диагностику с нормальным жизненным циклом; не делай вывод о любом allocator. Продолжай один и тот же локальный пример по шагу текущего дня.</x:v>
      </x:c>
      <x:c r="H217" s="9" t="str">
        <x:v>Выданный файл, Ghidra, GDB, свой C или Rust пример</x:v>
      </x:c>
      <x:c r="I217" s="9" t="str">
        <x:v>RU02 METANIT Язык Си — Динамическая память и указатели
https://metanit.com/c/tutorial/
RU26 METANIT Rust — Владение перемещение заимствование
https://metanit.com/rust/tutorial/
RU28 SPbCTF Сезон бинарной эксплуатации — Pwn 12–17: устройство кучи и жизненный цикл
https://www.youtube.com/playlist?list=PLLguubeCGWoY12PWrD-oV3nZg3sjJNKxm</x:v>
      </x:c>
      <x:c r="J217" s="9" t="str">
        <x:v>C lifetime и указатели; GDB Ghidra; обычный и граничный ввод. Сначала выяснить, какой allocator исследуется.</x:v>
      </x:c>
      <x:c r="K217" s="9" t="str">
        <x:v>Что подтверждено собственным наблюдением, какой неверный контроль это ограничивает и смогу ли я повторить шаг без ИИ?</x:v>
      </x:c>
      <x:c r="L217" s="9" t="str">
        <x:v>2027-05-05_R176_note.md: вход, версия, наблюдение, контроль, подсказки и следующий шаг</x:v>
      </x:c>
      <x:c r="M217" s="12"/>
      <x:c r="N217" s="12"/>
      <x:c r="O217" s="12"/>
      <x:c r="P217" s="14"/>
      <x:c r="Q217" s="9" t="str">
        <x:v>R176 Heap allocator; шаг 3/5
https://ringzer0ctf.com/challenges/176</x:v>
      </x:c>
      <x:c r="R217" s="10" t="d">
        <x:v>2027-05-06T00:00:00.000Z</x:v>
      </x:c>
      <x:c r="S217" s="10" t="d">
        <x:v>2027-05-12T00:00:00.000Z</x:v>
      </x:c>
      <x:c r="T217" s="10" t="d">
        <x:v>2027-06-02T00:00:00.000Z</x:v>
      </x:c>
    </x:row>
    <x:row r="218" ht="100" hidden="0" customHeight="1">
      <x:c r="A218" s="10" t="d">
        <x:v>2027-05-06T00:00:00.000Z</x:v>
      </x:c>
      <x:c r="B218" s="9" t="str">
        <x:v>чт</x:v>
      </x:c>
      <x:c r="C218" s="9" t="n">
        <x:v>36</x:v>
      </x:c>
      <x:c r="D218" s="9" t="str">
        <x:v>изучение</x:v>
      </x:c>
      <x:c r="E218" s="9" t="str">
        <x:v>Heap allocator — шаг 4 из 5</x:v>
      </x:c>
      <x:c r="F218" s="9" t="str">
        <x:v>Изучить и проверить: Владение объектом; выделение и освобождение; layout конкретного allocator.</x:v>
      </x:c>
      <x:c r="G218" s="9" t="str">
        <x:v>Проверь одно предсказание о повторном использовании в выданной задаче. Запиши фактическое поведение и условия. При недоступности — локальная замена из карточки R176 в документе 12.
Локальная замена: На собственном примере 05_lifetime.c и его исправлении нарисуй владельца, выделение, освобождение и допустимое время обращения. Сверь диагностику с нормальным жизненным циклом; не делай вывод о любом allocator. Продолжай один и тот же локальный пример по шагу текущего дня.</x:v>
      </x:c>
      <x:c r="H218" s="9" t="str">
        <x:v>Выданный файл, Ghidra, GDB, свой C или Rust пример</x:v>
      </x:c>
      <x:c r="I218" s="9" t="str">
        <x:v>RU02 METANIT Язык Си — Динамическая память и указатели
https://metanit.com/c/tutorial/
RU26 METANIT Rust — Владение перемещение заимствование
https://metanit.com/rust/tutorial/
RU28 SPbCTF Сезон бинарной эксплуатации — Pwn 12–17: устройство кучи и жизненный цикл
https://www.youtube.com/playlist?list=PLLguubeCGWoY12PWrD-oV3nZg3sjJNKxm</x:v>
      </x:c>
      <x:c r="J218" s="9" t="str">
        <x:v>C lifetime и указатели; GDB Ghidra; обычный и граничный ввод. Сначала выяснить, какой allocator исследуется.</x:v>
      </x:c>
      <x:c r="K218" s="9" t="str">
        <x:v>Что подтверждено собственным наблюдением, какой неверный контроль это ограничивает и смогу ли я повторить шаг без ИИ?</x:v>
      </x:c>
      <x:c r="L218" s="9" t="str">
        <x:v>2027-05-06_R176_note.md: вход, версия, наблюдение, контроль, подсказки и следующий шаг</x:v>
      </x:c>
      <x:c r="M218" s="12"/>
      <x:c r="N218" s="12"/>
      <x:c r="O218" s="12"/>
      <x:c r="P218" s="14"/>
      <x:c r="Q218" s="9" t="str">
        <x:v>R176 Heap allocator; шаг 4/5
https://ringzer0ctf.com/challenges/176</x:v>
      </x:c>
      <x:c r="R218" s="10" t="d">
        <x:v>2027-05-07T00:00:00.000Z</x:v>
      </x:c>
      <x:c r="S218" s="10" t="d">
        <x:v>2027-05-13T00:00:00.000Z</x:v>
      </x:c>
      <x:c r="T218" s="10" t="d">
        <x:v>2027-06-03T00:00:00.000Z</x:v>
      </x:c>
    </x:row>
    <x:row r="219" ht="100" hidden="0" customHeight="1">
      <x:c r="A219" s="10" t="d">
        <x:v>2027-05-07T00:00:00.000Z</x:v>
      </x:c>
      <x:c r="B219" s="9" t="str">
        <x:v>пт</x:v>
      </x:c>
      <x:c r="C219" s="9" t="n">
        <x:v>36</x:v>
      </x:c>
      <x:c r="D219" s="9" t="str">
        <x:v>изучение</x:v>
      </x:c>
      <x:c r="E219" s="9" t="str">
        <x:v>Heap allocator — шаг 5 из 5</x:v>
      </x:c>
      <x:c r="F219" s="9" t="str">
        <x:v>Изучить и проверить: Владение объектом; выделение и освобождение; layout конкретного allocator.</x:v>
      </x:c>
      <x:c r="G219" s="9" t="str">
        <x:v>Заверши Heap allocator или сохрани handoff. Приложи схему, нужные версии, обычный и ошибочный контроль. Не выдавай модель этого таска за описание любой glibc. При недоступности — локальная замена из карточки R176 в документе 12.
Локальная замена: На собственном примере 05_lifetime.c и его исправлении нарисуй владельца, выделение, освобождение и допустимое время обращения. Сверь диагностику с нормальным жизненным циклом; не делай вывод о любом allocator. Продолжай один и тот же локальный пример по шагу текущего дня.</x:v>
      </x:c>
      <x:c r="H219" s="9" t="str">
        <x:v>Выданный файл, Ghidra, GDB, свой C или Rust пример</x:v>
      </x:c>
      <x:c r="I219" s="9" t="str">
        <x:v>RU02 METANIT Язык Си — Динамическая память и указатели
https://metanit.com/c/tutorial/
RU26 METANIT Rust — Владение перемещение заимствование
https://metanit.com/rust/tutorial/
RU28 SPbCTF Сезон бинарной эксплуатации — Pwn 12–17: устройство кучи и жизненный цикл
https://www.youtube.com/playlist?list=PLLguubeCGWoY12PWrD-oV3nZg3sjJNKxm</x:v>
      </x:c>
      <x:c r="J219" s="9" t="str">
        <x:v>C lifetime и указатели; GDB Ghidra; обычный и граничный ввод. Сначала выяснить, какой allocator исследуется.</x:v>
      </x:c>
      <x:c r="K219" s="9" t="str">
        <x:v>Что подтверждено собственным наблюдением, какой неверный контроль это ограничивает и смогу ли я повторить шаг без ИИ?</x:v>
      </x:c>
      <x:c r="L219" s="9" t="str">
        <x:v>2027-05-07_R176_note.md: вход, версия, наблюдение, контроль, подсказки и следующий шаг</x:v>
      </x:c>
      <x:c r="M219" s="12"/>
      <x:c r="N219" s="12"/>
      <x:c r="O219" s="12"/>
      <x:c r="P219" s="14"/>
      <x:c r="Q219" s="9" t="str">
        <x:v>R176 Heap allocator; шаг 5/5
https://ringzer0ctf.com/challenges/176</x:v>
      </x:c>
      <x:c r="R219" s="10" t="d">
        <x:v>2027-05-10T00:00:00.000Z</x:v>
      </x:c>
      <x:c r="S219" s="10" t="d">
        <x:v>2027-05-14T00:00:00.000Z</x:v>
      </x:c>
      <x:c r="T219" s="10" t="d">
        <x:v>2027-06-04T00:00:00.000Z</x:v>
      </x:c>
    </x:row>
    <x:row r="220" ht="19" hidden="0" customHeight="1">
      <x:c r="A220" s="10" t="d">
        <x:v>2027-05-08T00:00:00.000Z</x:v>
      </x:c>
      <x:c r="B220" s="9" t="str">
        <x:v>сб</x:v>
      </x:c>
      <x:c r="C220" s="9" t="n">
        <x:v>36</x:v>
      </x:c>
      <x:c r="D220" s="9" t="str">
        <x:v>пауза</x:v>
      </x:c>
      <x:c r="E220" s="9" t="str">
        <x:v>Учебная пауза и восстановление</x:v>
      </x:c>
      <x:c r="F220" s="9" t="str">
        <x:v>Новых учебных задач нет.</x:v>
      </x:c>
      <x:c r="G220" s="9" t="str">
        <x:v>Практика не назначена</x:v>
      </x:c>
      <x:c r="H220" s="9" t="str">
        <x:v>Не требуется</x:v>
      </x:c>
      <x:c r="I220" s="9" t="str">
        <x:v>Чтение не назначено</x:v>
      </x:c>
      <x:c r="J220" s="9" t="str">
        <x:v>Учебная пауза; допуск и практику сегодня не проверять.</x:v>
      </x:c>
      <x:c r="K220" s="9" t="str">
        <x:v>Учебного зачёта сегодня нет.</x:v>
      </x:c>
      <x:c r="L220" s="9" t="str">
        <x:v>Учебного артефакта нет</x:v>
      </x:c>
      <x:c r="M220" s="12"/>
      <x:c r="N220" s="12"/>
      <x:c r="O220" s="12"/>
      <x:c r="P220" s="14"/>
      <x:c r="Q220" s="9" t="str">
        <x:v>пауза</x:v>
      </x:c>
      <x:c r="R220" s="10"/>
      <x:c r="S220" s="10"/>
      <x:c r="T220" s="10"/>
    </x:row>
    <x:row r="221" ht="19" hidden="0" customHeight="1">
      <x:c r="A221" s="10" t="d">
        <x:v>2027-05-09T00:00:00.000Z</x:v>
      </x:c>
      <x:c r="B221" s="9" t="str">
        <x:v>вс</x:v>
      </x:c>
      <x:c r="C221" s="9" t="n">
        <x:v>36</x:v>
      </x:c>
      <x:c r="D221" s="9" t="str">
        <x:v>пауза</x:v>
      </x:c>
      <x:c r="E221" s="9" t="str">
        <x:v>Учебная пауза и восстановление</x:v>
      </x:c>
      <x:c r="F221" s="9" t="str">
        <x:v>Новых учебных задач нет.</x:v>
      </x:c>
      <x:c r="G221" s="9" t="str">
        <x:v>Практика не назначена</x:v>
      </x:c>
      <x:c r="H221" s="9" t="str">
        <x:v>Не требуется</x:v>
      </x:c>
      <x:c r="I221" s="9" t="str">
        <x:v>Чтение не назначено</x:v>
      </x:c>
      <x:c r="J221" s="9" t="str">
        <x:v>Учебная пауза; допуск и практику сегодня не проверять.</x:v>
      </x:c>
      <x:c r="K221" s="9" t="str">
        <x:v>Учебного зачёта сегодня нет.</x:v>
      </x:c>
      <x:c r="L221" s="9" t="str">
        <x:v>Учебного артефакта нет</x:v>
      </x:c>
      <x:c r="M221" s="12"/>
      <x:c r="N221" s="12"/>
      <x:c r="O221" s="12"/>
      <x:c r="P221" s="14"/>
      <x:c r="Q221" s="9" t="str">
        <x:v>пауза</x:v>
      </x:c>
      <x:c r="R221" s="10"/>
      <x:c r="S221" s="10"/>
      <x:c r="T221" s="10"/>
    </x:row>
    <x:row r="222" ht="76" hidden="0" customHeight="1">
      <x:c r="A222" s="10" t="d">
        <x:v>2027-05-10T00:00:00.000Z</x:v>
      </x:c>
      <x:c r="B222" s="9" t="str">
        <x:v>пн</x:v>
      </x:c>
      <x:c r="C222" s="9" t="n">
        <x:v>37</x:v>
      </x:c>
      <x:c r="D222" s="9" t="str">
        <x:v>изучение</x:v>
      </x:c>
      <x:c r="E222" s="9" t="str">
        <x:v>Версия allocator и применимость heap гипотезы</x:v>
      </x:c>
      <x:c r="F222" s="9" t="str">
        <x:v>Разобрать: Сборка libc; поведение allocator; защита; предусловие выданной задачи.</x:v>
      </x:c>
      <x:c r="G222" s="9" t="str">
        <x:v>Зафиксируй версии своей VM, allocator и бинарника. Для одной выданной heap-задачи выпиши предпосылки и неподтверждённые условия. Чужие offsets и поведение другой версии не переносить.</x:v>
      </x:c>
      <x:c r="H222" s="9" t="str">
        <x:v>Своя CTF VM, GDB</x:v>
      </x:c>
      <x:c r="I222" s="9" t="str">
        <x:v>RU26 METANIT Rust — Владение; заимствование; время жизни
https://metanit.com/rust/tutorial/
RU28 SPbCTF Сезон бинарной эксплуатации — Pwn 15–18: жизненный цикл и allocator
https://www.youtube.com/playlist?list=PLLguubeCGWoY12PWrD-oV3nZg3sjJNKxm</x:v>
      </x:c>
      <x:c r="J222" s="9" t="str">
        <x:v>C и память и отладка: объяснить владельца объекта, lifetime, освобождение и повторное использование; восстановить trace.</x:v>
      </x:c>
      <x:c r="K222" s="9" t="str">
        <x:v>Какое отличие версии делает готовое описание heap-поведения неприменимым?</x:v>
      </x:c>
      <x:c r="L222" s="9" t="str">
        <x:v>Паспорт heap lab и одна проверяемая предпосылка</x:v>
      </x:c>
      <x:c r="M222" s="12"/>
      <x:c r="N222" s="12"/>
      <x:c r="O222" s="12"/>
      <x:c r="P222" s="14"/>
      <x:c r="Q222" s="9" t="str">
        <x:v>RU26 RU28</x:v>
      </x:c>
      <x:c r="R222" s="10" t="d">
        <x:v>2027-05-11T00:00:00.000Z</x:v>
      </x:c>
      <x:c r="S222" s="10" t="d">
        <x:v>2027-05-17T00:00:00.000Z</x:v>
      </x:c>
      <x:c r="T222" s="10" t="d">
        <x:v>2027-06-07T00:00:00.000Z</x:v>
      </x:c>
    </x:row>
    <x:row r="223" ht="88" hidden="0" customHeight="1">
      <x:c r="A223" s="10" t="d">
        <x:v>2027-05-11T00:00:00.000Z</x:v>
      </x:c>
      <x:c r="B223" s="9" t="str">
        <x:v>вт</x:v>
      </x:c>
      <x:c r="C223" s="9" t="n">
        <x:v>37</x:v>
      </x:c>
      <x:c r="D223" s="9" t="str">
        <x:v>изучение</x:v>
      </x:c>
      <x:c r="E223" s="9" t="str">
        <x:v>Минимальная последовательность use after free</x:v>
      </x:c>
      <x:c r="F223" s="9" t="str">
        <x:v>Разобрать: Выделение; освобождение; последующее обращение; первое нарушение срока жизни.</x:v>
      </x:c>
      <x:c r="G223" s="9" t="str">
        <x:v>В своей модели выпиши allocate/free/use и воспроизведи безопасный stale-handle случай. Отметь первое неверное обращение.</x:v>
      </x:c>
      <x:c r="H223" s="9" t="str">
        <x:v>Linux-VM, свой C/ELF, GDB/Ghidra</x:v>
      </x:c>
      <x:c r="I223" s="9" t="str">
        <x:v>RU28 SPbCTF Сезон бинарной эксплуатации — Pwn 15–18: UAF double free и allocator
https://www.youtube.com/playlist?list=PLLguubeCGWoY12PWrD-oV3nZg3sjJNKxm
RU31 Microsoft Learn AddressSanitizer — Диагностика освобождённой памяти
https://learn.microsoft.com/ru-ru/cpp/sanitizers/asan?view=msvc-170</x:v>
      </x:c>
      <x:c r="J223" s="9" t="str">
        <x:v>C и память и отладка: объяснить владельца объекта, lifetime, освобождение и повторное использование; восстановить trace.</x:v>
      </x:c>
      <x:c r="K223" s="9" t="str">
        <x:v>Какая операция является первопричиной наблюдения?</x:v>
      </x:c>
      <x:c r="L223" s="9" t="str">
        <x:v>2027-05-11_note.md: вход, ожидание, факт, вывод, контроль</x:v>
      </x:c>
      <x:c r="M223" s="12"/>
      <x:c r="N223" s="12"/>
      <x:c r="O223" s="12"/>
      <x:c r="P223" s="14"/>
      <x:c r="Q223" s="9" t="str">
        <x:v>RU28 RU31</x:v>
      </x:c>
      <x:c r="R223" s="10" t="d">
        <x:v>2027-05-12T00:00:00.000Z</x:v>
      </x:c>
      <x:c r="S223" s="10" t="d">
        <x:v>2027-05-18T00:00:00.000Z</x:v>
      </x:c>
      <x:c r="T223" s="10" t="d">
        <x:v>2027-06-08T00:00:00.000Z</x:v>
      </x:c>
    </x:row>
    <x:row r="224" ht="88" hidden="0" customHeight="1">
      <x:c r="A224" s="10" t="d">
        <x:v>2027-05-12T00:00:00.000Z</x:v>
      </x:c>
      <x:c r="B224" s="9" t="str">
        <x:v>ср</x:v>
      </x:c>
      <x:c r="C224" s="9" t="n">
        <x:v>37</x:v>
      </x:c>
      <x:c r="D224" s="9" t="str">
        <x:v>изучение</x:v>
      </x:c>
      <x:c r="E224" s="9" t="str">
        <x:v>Reuse и тестовый marker при устаревшей ссылке</x:v>
      </x:c>
      <x:c r="F224" s="9" t="str">
        <x:v>Разобрать: Старое содержимое; новый marker; связь со stale reference; контроль идентичности объекта.</x:v>
      </x:c>
      <x:c r="G224" s="9" t="str">
        <x:v>В выделенном учебном heap-lab сравни состояние до/после вымышленного marker. Зафиксируй allocator и наблюдаемое отношение.</x:v>
      </x:c>
      <x:c r="H224" s="9" t="str">
        <x:v>Linux-VM, свой C/ELF, GDB/Ghidra</x:v>
      </x:c>
      <x:c r="I224" s="9" t="str">
        <x:v>RU28 SPbCTF Сезон бинарной эксплуатации — Pwn 15–18: UAF double free и allocator
https://www.youtube.com/playlist?list=PLLguubeCGWoY12PWrD-oV3nZg3sjJNKxm
RU31 Microsoft Learn AddressSanitizer — Диагностика освобождённой памяти
https://learn.microsoft.com/ru-ru/cpp/sanitizers/asan?view=msvc-170</x:v>
      </x:c>
      <x:c r="J224" s="9" t="str">
        <x:v>C и память и отладка: объяснить владельца объекта, lifetime, освобождение и повторное использование; восстановить trace.</x:v>
      </x:c>
      <x:c r="K224" s="9" t="str">
        <x:v>Что действительно подтвердило связь старой ссылки с новым объектом?</x:v>
      </x:c>
      <x:c r="L224" s="9" t="str">
        <x:v>2027-05-12_note.md: вход, ожидание, факт, вывод, контроль</x:v>
      </x:c>
      <x:c r="M224" s="12"/>
      <x:c r="N224" s="12"/>
      <x:c r="O224" s="12"/>
      <x:c r="P224" s="14"/>
      <x:c r="Q224" s="9" t="str">
        <x:v>RU28 RU31</x:v>
      </x:c>
      <x:c r="R224" s="10" t="d">
        <x:v>2027-05-13T00:00:00.000Z</x:v>
      </x:c>
      <x:c r="S224" s="10" t="d">
        <x:v>2027-05-19T00:00:00.000Z</x:v>
      </x:c>
      <x:c r="T224" s="10" t="d">
        <x:v>2027-06-09T00:00:00.000Z</x:v>
      </x:c>
    </x:row>
    <x:row r="225" ht="88" hidden="0" customHeight="1">
      <x:c r="A225" s="10" t="d">
        <x:v>2027-05-13T00:00:00.000Z</x:v>
      </x:c>
      <x:c r="B225" s="9" t="str">
        <x:v>чт</x:v>
      </x:c>
      <x:c r="C225" s="9" t="n">
        <x:v>37</x:v>
      </x:c>
      <x:c r="D225" s="9" t="str">
        <x:v>изучение</x:v>
      </x:c>
      <x:c r="E225" s="9" t="str">
        <x:v>Повторное освобождение и диагностика double free</x:v>
      </x:c>
      <x:c r="F225" s="9" t="str">
        <x:v>Разобрать: Договор владения; первый и повторный free; сообщение sanitizer; зависимость от состояния allocator.</x:v>
      </x:c>
      <x:c r="G225" s="9" t="str">
        <x:v>На своём ASan-примере или выданном lab проверь повторное освобождение. Сохрани диагностику и правильный одноразовый cleanup.</x:v>
      </x:c>
      <x:c r="H225" s="9" t="str">
        <x:v>Linux-VM, свой C/ELF, GDB/Ghidra</x:v>
      </x:c>
      <x:c r="I225" s="9" t="str">
        <x:v>RU28 SPbCTF Сезон бинарной эксплуатации — Pwn 15–18: UAF double free и allocator
https://www.youtube.com/playlist?list=PLLguubeCGWoY12PWrD-oV3nZg3sjJNKxm
RU31 Microsoft Learn AddressSanitizer — Диагностика освобождённой памяти
https://learn.microsoft.com/ru-ru/cpp/sanitizers/asan?view=msvc-170</x:v>
      </x:c>
      <x:c r="J225" s="9" t="str">
        <x:v>C и память и отладка: объяснить владельца объекта, lifetime, освобождение и повторное использование; восстановить trace.</x:v>
      </x:c>
      <x:c r="K225" s="9" t="str">
        <x:v>Почему повторное free нельзя считать гарантированным способом записи?</x:v>
      </x:c>
      <x:c r="L225" s="9" t="str">
        <x:v>2027-05-13_note.md: вход, ожидание, факт, вывод, контроль</x:v>
      </x:c>
      <x:c r="M225" s="12"/>
      <x:c r="N225" s="12"/>
      <x:c r="O225" s="12"/>
      <x:c r="P225" s="14"/>
      <x:c r="Q225" s="9" t="str">
        <x:v>RU28 RU31</x:v>
      </x:c>
      <x:c r="R225" s="10" t="d">
        <x:v>2027-05-14T00:00:00.000Z</x:v>
      </x:c>
      <x:c r="S225" s="10" t="d">
        <x:v>2027-05-20T00:00:00.000Z</x:v>
      </x:c>
      <x:c r="T225" s="10" t="d">
        <x:v>2027-06-10T00:00:00.000Z</x:v>
      </x:c>
    </x:row>
    <x:row r="226" ht="76" hidden="0" customHeight="1">
      <x:c r="A226" s="10" t="d">
        <x:v>2027-05-14T00:00:00.000Z</x:v>
      </x:c>
      <x:c r="B226" s="9" t="str">
        <x:v>пт</x:v>
      </x:c>
      <x:c r="C226" s="9" t="n">
        <x:v>37</x:v>
      </x:c>
      <x:c r="D226" s="9" t="str">
        <x:v>изучение</x:v>
      </x:c>
      <x:c r="E226" s="9" t="str">
        <x:v>Проверенная возможность heap дефекта и его исправление</x:v>
      </x:c>
      <x:c r="F226" s="9" t="str">
        <x:v>Разобрать: Наблюдаемый crash; причина lifetime; узкий эффект; исправленный контроль.</x:v>
      </x:c>
      <x:c r="G226" s="9" t="str">
        <x:v>Для своего уже полученного дефекта сравни ошибочный порядок операций и исправленный. Отдельно укажи, доказан ли только crash или более узкий эффект. Не добавляй новый exploit.</x:v>
      </x:c>
      <x:c r="H226" s="9" t="str">
        <x:v>Своя heap lab, ASan</x:v>
      </x:c>
      <x:c r="I226" s="9" t="str">
        <x:v>RU26 METANIT Rust — Владение; заимствование; время жизни
https://metanit.com/rust/tutorial/
RU28 SPbCTF Сезон бинарной эксплуатации — Pwn 15–18: жизненный цикл и allocator
https://www.youtube.com/playlist?list=PLLguubeCGWoY12PWrD-oV3nZg3sjJNKxm</x:v>
      </x:c>
      <x:c r="J226" s="9" t="str">
        <x:v>C и память и отладка: объяснить владельца объекта, lifetime, освобождение и повторное использование; восстановить trace.</x:v>
      </x:c>
      <x:c r="K226" s="9" t="str">
        <x:v>Какой максимальный вывод действительно подтверждён твоими входами?</x:v>
      </x:c>
      <x:c r="L226" s="9" t="str">
        <x:v>Матрица ошибочного и исправленного lifecycle</x:v>
      </x:c>
      <x:c r="M226" s="12"/>
      <x:c r="N226" s="12"/>
      <x:c r="O226" s="12"/>
      <x:c r="P226" s="14"/>
      <x:c r="Q226" s="9" t="str">
        <x:v>RU26 RU28</x:v>
      </x:c>
      <x:c r="R226" s="10" t="d">
        <x:v>2027-05-15T00:00:00.000Z</x:v>
      </x:c>
      <x:c r="S226" s="10" t="d">
        <x:v>2027-05-21T00:00:00.000Z</x:v>
      </x:c>
      <x:c r="T226" s="10" t="d">
        <x:v>2027-06-11T00:00:00.000Z</x:v>
      </x:c>
    </x:row>
    <x:row r="227" ht="88" hidden="0" customHeight="1">
      <x:c r="A227" s="10" t="d">
        <x:v>2027-05-15T00:00:00.000Z</x:v>
      </x:c>
      <x:c r="B227" s="9" t="str">
        <x:v>сб</x:v>
      </x:c>
      <x:c r="C227" s="9" t="n">
        <x:v>37</x:v>
      </x:c>
      <x:c r="D227" s="9" t="str">
        <x:v>повторение</x:v>
      </x:c>
      <x:c r="E227" s="9" t="str">
        <x:v>Исправление UAF и обычный жизненный цикл</x:v>
      </x:c>
      <x:c r="F227" s="9" t="str">
        <x:v>Повторить: Однозначное ownership; запрет stale use; ошибочная последовательность; нормальное создание и удаление.</x:v>
      </x:c>
      <x:c r="G227" s="9" t="str">
        <x:v>Исправь свою модель, повтори ошибочную последовательность и нормальное использование. Оформи результаты и условия переноса.</x:v>
      </x:c>
      <x:c r="H227" s="9" t="str">
        <x:v>Linux-VM, свой C/ELF, GDB/Ghidra</x:v>
      </x:c>
      <x:c r="I227" s="9" t="str">
        <x:v>RU28 SPbCTF Сезон бинарной эксплуатации — Pwn 15–18: UAF double free и allocator
https://www.youtube.com/playlist?list=PLLguubeCGWoY12PWrD-oV3nZg3sjJNKxm
RU31 Microsoft Learn AddressSanitizer — Диагностика освобождённой памяти
https://learn.microsoft.com/ru-ru/cpp/sanitizers/asan?view=msvc-170</x:v>
      </x:c>
      <x:c r="J227" s="9" t="str">
        <x:v>C и память и отладка: объяснить владельца объекта, lifetime, освобождение и повторное использование; восстановить trace.</x:v>
      </x:c>
      <x:c r="K227" s="9" t="str">
        <x:v>Какой контроль показывает сохранность нормального цикла?</x:v>
      </x:c>
      <x:c r="L227" s="9" t="str">
        <x:v>2027-05-15_note.md: вход, ожидание, факт, вывод, контроль</x:v>
      </x:c>
      <x:c r="M227" s="12"/>
      <x:c r="N227" s="12"/>
      <x:c r="O227" s="12"/>
      <x:c r="P227" s="14"/>
      <x:c r="Q227" s="9" t="str">
        <x:v>RU28 RU31</x:v>
      </x:c>
      <x:c r="R227" s="10" t="d">
        <x:v>2027-05-17T00:00:00.000Z</x:v>
      </x:c>
      <x:c r="S227" s="10" t="d">
        <x:v>2027-05-31T00:00:00.000Z</x:v>
      </x:c>
      <x:c r="T227" s="10" t="d">
        <x:v>2027-06-12T00:00:00.000Z</x:v>
      </x:c>
    </x:row>
    <x:row r="228" ht="19" hidden="0" customHeight="1">
      <x:c r="A228" s="10" t="d">
        <x:v>2027-05-16T00:00:00.000Z</x:v>
      </x:c>
      <x:c r="B228" s="9" t="str">
        <x:v>вс</x:v>
      </x:c>
      <x:c r="C228" s="9" t="n">
        <x:v>37</x:v>
      </x:c>
      <x:c r="D228" s="9" t="str">
        <x:v>пауза</x:v>
      </x:c>
      <x:c r="E228" s="9" t="str">
        <x:v>Учебная пауза и восстановление</x:v>
      </x:c>
      <x:c r="F228" s="9" t="str">
        <x:v>Новых учебных задач нет.</x:v>
      </x:c>
      <x:c r="G228" s="9" t="str">
        <x:v>Практика не назначена</x:v>
      </x:c>
      <x:c r="H228" s="9" t="str">
        <x:v>Не требуется</x:v>
      </x:c>
      <x:c r="I228" s="9" t="str">
        <x:v>Чтение не назначено</x:v>
      </x:c>
      <x:c r="J228" s="9" t="str">
        <x:v>Учебная пауза; допуск и практику сегодня не проверять.</x:v>
      </x:c>
      <x:c r="K228" s="9" t="str">
        <x:v>Учебного зачёта сегодня нет.</x:v>
      </x:c>
      <x:c r="L228" s="9" t="str">
        <x:v>Учебного артефакта нет</x:v>
      </x:c>
      <x:c r="M228" s="12"/>
      <x:c r="N228" s="12"/>
      <x:c r="O228" s="12"/>
      <x:c r="P228" s="14"/>
      <x:c r="Q228" s="9" t="str">
        <x:v>пауза</x:v>
      </x:c>
      <x:c r="R228" s="10"/>
      <x:c r="S228" s="10"/>
      <x:c r="T228" s="10"/>
    </x:row>
    <x:row r="229" ht="64" hidden="0" customHeight="1">
      <x:c r="A229" s="10" t="d">
        <x:v>2027-05-17T00:00:00.000Z</x:v>
      </x:c>
      <x:c r="B229" s="9" t="str">
        <x:v>пн</x:v>
      </x:c>
      <x:c r="C229" s="9" t="n">
        <x:v>38</x:v>
      </x:c>
      <x:c r="D229" s="9" t="str">
        <x:v>изучение</x:v>
      </x:c>
      <x:c r="E229" s="9" t="str">
        <x:v>Детерминированный harness и договор входа parser</x:v>
      </x:c>
      <x:c r="F229" s="9" t="str">
        <x:v>Разобрать: Одна точка входа; повторяемость; ограничения ресурса; обычный контроль.</x:v>
      </x:c>
      <x:c r="G229" s="9" t="str">
        <x:v>Подготовь harness своего небольшого parser. Дважды выполни один и тот же набор входов и сравни результаты. Зафиксируй версии и границы кампании до генерации новых входов.</x:v>
      </x:c>
      <x:c r="H229" s="9" t="str">
        <x:v>Свой parser, Python или C</x:v>
      </x:c>
      <x:c r="I229" s="9" t="str">
        <x:v>RU35 BI.ZONE Современные технологии Greybox фаззинга — Корпус; покрытие; harness
https://habr.com/ru/companies/bizone/articles/570312/
RU25 Скотт Чакон Бен Штрауб Pro Git — Просмотр diff и истории
https://git-scm.com/book/ru/v2</x:v>
      </x:c>
      <x:c r="J229" s="9" t="str">
        <x:v>Освоены отладка и ошибки времени жизни: воспроизводимый вход и состояние; свой parser принимает обычный контрольный файл.</x:v>
      </x:c>
      <x:c r="K229" s="9" t="str">
        <x:v>Какое скрытое состояние нарушит воспроизводимость harness?</x:v>
      </x:c>
      <x:c r="L229" s="9" t="str">
        <x:v>Harness и два совпадающих запуска контрольного набора</x:v>
      </x:c>
      <x:c r="M229" s="12"/>
      <x:c r="N229" s="12"/>
      <x:c r="O229" s="12"/>
      <x:c r="P229" s="14"/>
      <x:c r="Q229" s="9" t="str">
        <x:v>RU35 RU25</x:v>
      </x:c>
      <x:c r="R229" s="10" t="d">
        <x:v>2027-05-18T00:00:00.000Z</x:v>
      </x:c>
      <x:c r="S229" s="10" t="d">
        <x:v>2027-05-31T00:00:00.000Z</x:v>
      </x:c>
      <x:c r="T229" s="10" t="d">
        <x:v>2027-06-14T00:00:00.000Z</x:v>
      </x:c>
    </x:row>
    <x:row r="230" ht="64" hidden="0" customHeight="1">
      <x:c r="A230" s="10" t="d">
        <x:v>2027-05-18T00:00:00.000Z</x:v>
      </x:c>
      <x:c r="B230" s="9" t="str">
        <x:v>вт</x:v>
      </x:c>
      <x:c r="C230" s="9" t="n">
        <x:v>38</x:v>
      </x:c>
      <x:c r="D230" s="9" t="str">
        <x:v>изучение</x:v>
      </x:c>
      <x:c r="E230" s="9" t="str">
        <x:v>Corpus и смысл наблюдаемого покрытия</x:v>
      </x:c>
      <x:c r="F230" s="9" t="str">
        <x:v>Разобрать: Обычный seed; пустой вход; граница формата; достигнутые ветви.</x:v>
      </x:c>
      <x:c r="G230" s="9" t="str">
        <x:v>Составь corpus не более чем из восьми разных входов своего parser. Для каждого подпиши назначение и достигнутую ветвь. Не оценивай качество только по числу файлов.</x:v>
      </x:c>
      <x:c r="H230" s="9" t="str">
        <x:v>Свой parser, coverage при наличии</x:v>
      </x:c>
      <x:c r="I230" s="9" t="str">
        <x:v>RU35 BI.ZONE Современные технологии Greybox фаззинга — Корпус; покрытие; harness
https://habr.com/ru/companies/bizone/articles/570312/
RU25 Скотт Чакон Бен Штрауб Pro Git — Просмотр diff и истории
https://git-scm.com/book/ru/v2</x:v>
      </x:c>
      <x:c r="J230" s="9" t="str">
        <x:v>отладка и жизненный цикл heap–ошибки времени жизни: воспроизводимый вход и состояние; свой parser принимает обычный контрольный файл.</x:v>
      </x:c>
      <x:c r="K230" s="9" t="str">
        <x:v>Какая важная ветвь не покрыта ни одним из твоих seeds?</x:v>
      </x:c>
      <x:c r="L230" s="9" t="str">
        <x:v>Небольшой corpus и карта достигнутых ветвей</x:v>
      </x:c>
      <x:c r="M230" s="12"/>
      <x:c r="N230" s="12"/>
      <x:c r="O230" s="12"/>
      <x:c r="P230" s="14"/>
      <x:c r="Q230" s="9" t="str">
        <x:v>RU35 RU25</x:v>
      </x:c>
      <x:c r="R230" s="10" t="d">
        <x:v>2027-05-19T00:00:00.000Z</x:v>
      </x:c>
      <x:c r="S230" s="10" t="d">
        <x:v>2027-05-31T00:00:00.000Z</x:v>
      </x:c>
      <x:c r="T230" s="10" t="d">
        <x:v>2027-06-15T00:00:00.000Z</x:v>
      </x:c>
    </x:row>
    <x:row r="231" ht="64" hidden="0" customHeight="1">
      <x:c r="A231" s="10" t="d">
        <x:v>2027-05-19T00:00:00.000Z</x:v>
      </x:c>
      <x:c r="B231" s="9" t="str">
        <x:v>ср</x:v>
      </x:c>
      <x:c r="C231" s="9" t="n">
        <x:v>38</x:v>
      </x:c>
      <x:c r="D231" s="9" t="str">
        <x:v>изучение</x:v>
      </x:c>
      <x:c r="E231" s="9" t="str">
        <x:v>Ограниченная кампания coverage guided fuzzing</x:v>
      </x:c>
      <x:c r="F231" s="9" t="str">
        <x:v>Разобрать: Инструментирование; мутации; coverage; crash; условие остановки.</x:v>
      </x:c>
      <x:c r="G231" s="9" t="str">
        <x:v>На своём parser выполни одну ограниченную кампанию AFL++ с заранее выбранным пределом запусков. Если инструмент недоступен, прогони фиксированный corpus и отметь фаззинг как невыполненный. Не запускать фоновые ночные кампании.</x:v>
      </x:c>
      <x:c r="H231" s="9" t="str">
        <x:v>AFL++ при наличии, свой parser</x:v>
      </x:c>
      <x:c r="I231" s="9" t="str">
        <x:v>RU35 BI.ZONE Современные технологии Greybox фаззинга — Корпус; покрытие; harness
https://habr.com/ru/companies/bizone/articles/570312/
RU25 Скотт Чакон Бен Штрауб Pro Git — Просмотр diff и истории
https://git-scm.com/book/ru/v2</x:v>
      </x:c>
      <x:c r="J231" s="9" t="str">
        <x:v>отладка и жизненный цикл heap–ошибки времени жизни: воспроизводимый вход и состояние; свой parser принимает обычный контрольный файл.</x:v>
      </x:c>
      <x:c r="K231" s="9" t="str">
        <x:v>Чем отсутствие crash отличается от доказательства отсутствия дефекта?</x:v>
      </x:c>
      <x:c r="L231" s="9" t="str">
        <x:v>Настройки кампании и фактический результат без выдуманного покрытия</x:v>
      </x:c>
      <x:c r="M231" s="12"/>
      <x:c r="N231" s="12"/>
      <x:c r="O231" s="12"/>
      <x:c r="P231" s="14"/>
      <x:c r="Q231" s="9" t="str">
        <x:v>RU35 RU25</x:v>
      </x:c>
      <x:c r="R231" s="10" t="d">
        <x:v>2027-05-20T00:00:00.000Z</x:v>
      </x:c>
      <x:c r="S231" s="10" t="d">
        <x:v>2027-05-31T00:00:00.000Z</x:v>
      </x:c>
      <x:c r="T231" s="10" t="d">
        <x:v>2027-06-16T00:00:00.000Z</x:v>
      </x:c>
    </x:row>
    <x:row r="232" ht="76" hidden="0" customHeight="1">
      <x:c r="A232" s="10" t="d">
        <x:v>2027-05-20T00:00:00.000Z</x:v>
      </x:c>
      <x:c r="B232" s="9" t="str">
        <x:v>чт</x:v>
      </x:c>
      <x:c r="C232" s="9" t="n">
        <x:v>38</x:v>
      </x:c>
      <x:c r="D232" s="9" t="str">
        <x:v>изучение</x:v>
      </x:c>
      <x:c r="E232" s="9" t="str">
        <x:v>Crash triage и первое нарушение по sanitizer</x:v>
      </x:c>
      <x:c r="F232" s="9" t="str">
        <x:v>Разобрать: Hash входа; первая неверная операция; stack trace; воспроизводимость.</x:v>
      </x:c>
      <x:c r="G232" s="9" t="str">
        <x:v>Выбери один собственный crash либо учебный локальный дефект. Повтори его с ASan, свяжи диагностику с входом и найди первую нарушенную границу. Не группируй причины только по последнему кадру.</x:v>
      </x:c>
      <x:c r="H232" s="9" t="str">
        <x:v>Clang ASan, GDB, свой parser</x:v>
      </x:c>
      <x:c r="I232" s="9" t="str">
        <x:v>RU31 Microsoft Learn AddressSanitizer — Ошибки памяти и диагностика
https://learn.microsoft.com/ru-ru/cpp/sanitizers/asan?view=msvc-170
RU35 BI.ZONE Современные технологии Greybox фаззинга — Анализ результата фаззинга
https://habr.com/ru/companies/bizone/articles/570312/</x:v>
      </x:c>
      <x:c r="J232" s="9" t="str">
        <x:v>отладка и жизненный цикл heap–ошибки времени жизни: воспроизводимый вход и состояние; свой parser принимает обычный контрольный файл.</x:v>
      </x:c>
      <x:c r="K232" s="9" t="str">
        <x:v>Почему место падения может отличаться от первой ошибочной операции?</x:v>
      </x:c>
      <x:c r="L232" s="9" t="str">
        <x:v>Один вход с hash и карточка первопричины</x:v>
      </x:c>
      <x:c r="M232" s="12"/>
      <x:c r="N232" s="12"/>
      <x:c r="O232" s="12"/>
      <x:c r="P232" s="14"/>
      <x:c r="Q232" s="9" t="str">
        <x:v>RU31 RU35</x:v>
      </x:c>
      <x:c r="R232" s="10" t="d">
        <x:v>2027-05-21T00:00:00.000Z</x:v>
      </x:c>
      <x:c r="S232" s="10" t="d">
        <x:v>2027-05-31T00:00:00.000Z</x:v>
      </x:c>
      <x:c r="T232" s="10" t="d">
        <x:v>2027-06-17T00:00:00.000Z</x:v>
      </x:c>
    </x:row>
    <x:row r="233" ht="76" hidden="0" customHeight="1">
      <x:c r="A233" s="10" t="d">
        <x:v>2027-05-21T00:00:00.000Z</x:v>
      </x:c>
      <x:c r="B233" s="9" t="str">
        <x:v>пт</x:v>
      </x:c>
      <x:c r="C233" s="9" t="n">
        <x:v>38</x:v>
      </x:c>
      <x:c r="D233" s="9" t="str">
        <x:v>изучение</x:v>
      </x:c>
      <x:c r="E233" s="9" t="str">
        <x:v>Минимизация и регрессионный тест исправления</x:v>
      </x:c>
      <x:c r="F233" s="9" t="str">
        <x:v>Разобрать: Сохранение причины; минимальный вход; исправленная сборка; нормальная функция.</x:v>
      </x:c>
      <x:c r="G233" s="9" t="str">
        <x:v>Уменьши вчерашний вход, подтверждая ту же причину после каждого изменения. Сравни исходную и исправленную сборки на минимальном и обычном входах.</x:v>
      </x:c>
      <x:c r="H233" s="9" t="str">
        <x:v>Свой parser, ASan, diff</x:v>
      </x:c>
      <x:c r="I233" s="9" t="str">
        <x:v>RU25 Скотт Чакон Бен Штрауб Pro Git — Просмотр diff и истории
https://git-scm.com/book/ru/v2
RU36 Securelist Разбор CVE 2023 23397 — Пример разбора исправления и ограничений
https://securelist.ru/analysis-of-attack-samples-exploiting-cve-2023-23397/107696/</x:v>
      </x:c>
      <x:c r="J233" s="9" t="str">
        <x:v>отладка и жизненный цикл heap–ошибки времени жизни: воспроизводимый вход и состояние; свой parser принимает обычный контрольный файл.</x:v>
      </x:c>
      <x:c r="K233" s="9" t="str">
        <x:v>Как доказать, что минимизация не заменила один дефект другим?</x:v>
      </x:c>
      <x:c r="L233" s="9" t="str">
        <x:v>Минимальный случай и матрица двух сборок на двух входах</x:v>
      </x:c>
      <x:c r="M233" s="12"/>
      <x:c r="N233" s="12"/>
      <x:c r="O233" s="12"/>
      <x:c r="P233" s="14"/>
      <x:c r="Q233" s="9" t="str">
        <x:v>RU25 RU36</x:v>
      </x:c>
      <x:c r="R233" s="10" t="d">
        <x:v>2027-05-31T00:00:00.000Z</x:v>
      </x:c>
      <x:c r="S233" s="10" t="d">
        <x:v>2027-05-31T00:00:00.000Z</x:v>
      </x:c>
      <x:c r="T233" s="10" t="d">
        <x:v>2027-06-18T00:00:00.000Z</x:v>
      </x:c>
    </x:row>
    <x:row r="234" ht="19" hidden="0" customHeight="1">
      <x:c r="A234" s="10" t="d">
        <x:v>2027-05-22T00:00:00.000Z</x:v>
      </x:c>
      <x:c r="B234" s="9" t="str">
        <x:v>сб</x:v>
      </x:c>
      <x:c r="C234" s="9" t="n">
        <x:v>38</x:v>
      </x:c>
      <x:c r="D234" s="9" t="str">
        <x:v>пауза</x:v>
      </x:c>
      <x:c r="E234" s="9" t="str">
        <x:v>Учебная пауза и восстановление</x:v>
      </x:c>
      <x:c r="F234" s="9" t="str">
        <x:v>Новых учебных задач нет.</x:v>
      </x:c>
      <x:c r="G234" s="9" t="str">
        <x:v>Практика не назначена</x:v>
      </x:c>
      <x:c r="H234" s="9" t="str">
        <x:v>Не требуется</x:v>
      </x:c>
      <x:c r="I234" s="9" t="str">
        <x:v>Чтение не назначено</x:v>
      </x:c>
      <x:c r="J234" s="9" t="str">
        <x:v>Учебная пауза; допуск и практику сегодня не проверять.</x:v>
      </x:c>
      <x:c r="K234" s="9" t="str">
        <x:v>Учебного зачёта сегодня нет.</x:v>
      </x:c>
      <x:c r="L234" s="9" t="str">
        <x:v>Учебного артефакта нет</x:v>
      </x:c>
      <x:c r="M234" s="12"/>
      <x:c r="N234" s="12"/>
      <x:c r="O234" s="12"/>
      <x:c r="P234" s="14"/>
      <x:c r="Q234" s="9" t="str">
        <x:v>пауза</x:v>
      </x:c>
      <x:c r="R234" s="10"/>
      <x:c r="S234" s="10"/>
      <x:c r="T234" s="10"/>
    </x:row>
    <x:row r="235" ht="19" hidden="0" customHeight="1">
      <x:c r="A235" s="10" t="d">
        <x:v>2027-05-23T00:00:00.000Z</x:v>
      </x:c>
      <x:c r="B235" s="9" t="str">
        <x:v>вс</x:v>
      </x:c>
      <x:c r="C235" s="9" t="n">
        <x:v>38</x:v>
      </x:c>
      <x:c r="D235" s="9" t="str">
        <x:v>пауза</x:v>
      </x:c>
      <x:c r="E235" s="9" t="str">
        <x:v>Учебная пауза и восстановление</x:v>
      </x:c>
      <x:c r="F235" s="9" t="str">
        <x:v>Новых учебных задач нет.</x:v>
      </x:c>
      <x:c r="G235" s="9" t="str">
        <x:v>Практика не назначена</x:v>
      </x:c>
      <x:c r="H235" s="9" t="str">
        <x:v>Не требуется</x:v>
      </x:c>
      <x:c r="I235" s="9" t="str">
        <x:v>Чтение не назначено</x:v>
      </x:c>
      <x:c r="J235" s="9" t="str">
        <x:v>Учебная пауза; допуск и практику сегодня не проверять.</x:v>
      </x:c>
      <x:c r="K235" s="9" t="str">
        <x:v>Учебного зачёта сегодня нет.</x:v>
      </x:c>
      <x:c r="L235" s="9" t="str">
        <x:v>Учебного артефакта нет</x:v>
      </x:c>
      <x:c r="M235" s="12"/>
      <x:c r="N235" s="12"/>
      <x:c r="O235" s="12"/>
      <x:c r="P235" s="14"/>
      <x:c r="Q235" s="9" t="str">
        <x:v>пауза</x:v>
      </x:c>
      <x:c r="R235" s="10"/>
      <x:c r="S235" s="10"/>
      <x:c r="T235" s="10"/>
    </x:row>
    <x:row r="236" ht="28" hidden="0" customHeight="1">
      <x:c r="A236" s="10" t="d">
        <x:v>2027-05-24T00:00:00.000Z</x:v>
      </x:c>
      <x:c r="B236" s="9" t="str">
        <x:v>пн</x:v>
      </x:c>
      <x:c r="C236" s="9" t="n">
        <x:v>39</x:v>
      </x:c>
      <x:c r="D236" s="9" t="str">
        <x:v>повторение</x:v>
      </x:c>
      <x:c r="E236" s="9" t="str">
        <x:v>Повтор карты памяти ранее изученного процесса</x:v>
      </x:c>
      <x:c r="F236" s="9" t="str">
        <x:v>Повторить: Сохранённые stack, heap и mappings; границы объектов; связь с собственным отчётом.</x:v>
      </x:c>
      <x:c r="G236" s="9" t="str">
        <x:v>Без нового запуска восстанови по памяти свою схему stack/heap/mappings, затем сверь со старой заметкой.</x:v>
      </x:c>
      <x:c r="H236" s="9" t="str">
        <x:v>Только свои старые заметки</x:v>
      </x:c>
      <x:c r="I236" s="9" t="str">
        <x:v>Своя готовая заметка по теме; нового чтения нет</x:v>
      </x:c>
      <x:c r="J236" s="9" t="str">
        <x:v>Подтверждён предыдущий механизм; действуют условия темы и разрешённой лаборатории.</x:v>
      </x:c>
      <x:c r="K236" s="9" t="str">
        <x:v>Какие адреса были фактами конкретного запуска?</x:v>
      </x:c>
      <x:c r="L236" s="9" t="str">
        <x:v>2027-05-24_note.md: вход, ожидание, факт, вывод, контроль</x:v>
      </x:c>
      <x:c r="M236" s="12"/>
      <x:c r="N236" s="12"/>
      <x:c r="O236" s="12"/>
      <x:c r="P236" s="14"/>
      <x:c r="Q236" s="9" t="str">
        <x:v>своя заметка</x:v>
      </x:c>
      <x:c r="R236" s="10" t="d">
        <x:v>2027-05-31T00:00:00.000Z</x:v>
      </x:c>
      <x:c r="S236" s="10" t="d">
        <x:v>2027-05-31T00:00:00.000Z</x:v>
      </x:c>
      <x:c r="T236" s="10" t="d">
        <x:v>2027-06-30T00:00:00.000Z</x:v>
      </x:c>
    </x:row>
    <x:row r="237" ht="28" hidden="0" customHeight="1">
      <x:c r="A237" s="10" t="d">
        <x:v>2027-05-25T00:00:00.000Z</x:v>
      </x:c>
      <x:c r="B237" s="9" t="str">
        <x:v>вт</x:v>
      </x:c>
      <x:c r="C237" s="9" t="n">
        <x:v>39</x:v>
      </x:c>
      <x:c r="D237" s="9" t="str">
        <x:v>повторение</x:v>
      </x:c>
      <x:c r="E237" s="9" t="str">
        <x:v>Повтор одного договора ABI по своей таблице</x:v>
      </x:c>
      <x:c r="F237" s="9" t="str">
        <x:v>Повторить: Аргументные регистры; stack; возврат выбранного вызова по уже готовой записи.</x:v>
      </x:c>
      <x:c r="G237" s="9" t="str">
        <x:v>Ответь на один вопрос из своей таблицы ABI, затем сверь ответ с сохранённым наблюдением.</x:v>
      </x:c>
      <x:c r="H237" s="9" t="str">
        <x:v>Только свои старые заметки</x:v>
      </x:c>
      <x:c r="I237" s="9" t="str">
        <x:v>Своя готовая заметка по теме; нового чтения нет</x:v>
      </x:c>
      <x:c r="J237" s="9" t="str">
        <x:v>Подтверждён предыдущий механизм; действуют условия темы и разрешённой лаборатории.</x:v>
      </x:c>
      <x:c r="K237" s="9" t="str">
        <x:v>Как передавался первый аргумент в выбранной среде?</x:v>
      </x:c>
      <x:c r="L237" s="9" t="str">
        <x:v>2027-05-25_note.md: вход, ожидание, факт, вывод, контроль</x:v>
      </x:c>
      <x:c r="M237" s="12"/>
      <x:c r="N237" s="12"/>
      <x:c r="O237" s="12"/>
      <x:c r="P237" s="14"/>
      <x:c r="Q237" s="9" t="str">
        <x:v>своя заметка</x:v>
      </x:c>
      <x:c r="R237" s="10" t="d">
        <x:v>2027-05-31T00:00:00.000Z</x:v>
      </x:c>
      <x:c r="S237" s="10" t="d">
        <x:v>2027-06-01T00:00:00.000Z</x:v>
      </x:c>
      <x:c r="T237" s="10" t="d">
        <x:v>2027-06-30T00:00:00.000Z</x:v>
      </x:c>
    </x:row>
    <x:row r="238" ht="28" hidden="0" customHeight="1">
      <x:c r="A238" s="10" t="d">
        <x:v>2027-05-26T00:00:00.000Z</x:v>
      </x:c>
      <x:c r="B238" s="9" t="str">
        <x:v>ср</x:v>
      </x:c>
      <x:c r="C238" s="9" t="n">
        <x:v>39</x:v>
      </x:c>
      <x:c r="D238" s="9" t="str">
        <x:v>повторение</x:v>
      </x:c>
      <x:c r="E238" s="9" t="str">
        <x:v>Повтор причины и ограничений готовой crash note</x:v>
      </x:c>
      <x:c r="F238" s="9" t="str">
        <x:v>Повторить: Сохранённый вход; первая ошибочная операция; предел доказательства без нового запуска.</x:v>
      </x:c>
      <x:c r="G238" s="9" t="str">
        <x:v>Прочитай одну свою заметку и найди отсутствующую предпосылку. Исправь только текст и ссылку.</x:v>
      </x:c>
      <x:c r="H238" s="9" t="str">
        <x:v>Только свои старые заметки</x:v>
      </x:c>
      <x:c r="I238" s="9" t="str">
        <x:v>Своя готовая заметка по теме; нового чтения нет</x:v>
      </x:c>
      <x:c r="J238" s="9" t="str">
        <x:v>Подтверждён предыдущий механизм; действуют условия темы и разрешённой лаборатории.</x:v>
      </x:c>
      <x:c r="K238" s="9" t="str">
        <x:v>Где описана первая неверная операция?</x:v>
      </x:c>
      <x:c r="L238" s="9" t="str">
        <x:v>2027-05-26_note.md: вход, ожидание, факт, вывод, контроль</x:v>
      </x:c>
      <x:c r="M238" s="12"/>
      <x:c r="N238" s="12"/>
      <x:c r="O238" s="12"/>
      <x:c r="P238" s="14"/>
      <x:c r="Q238" s="9" t="str">
        <x:v>своя заметка</x:v>
      </x:c>
      <x:c r="R238" s="10" t="d">
        <x:v>2027-05-31T00:00:00.000Z</x:v>
      </x:c>
      <x:c r="S238" s="10" t="d">
        <x:v>2027-06-02T00:00:00.000Z</x:v>
      </x:c>
      <x:c r="T238" s="10" t="d">
        <x:v>2027-06-30T00:00:00.000Z</x:v>
      </x:c>
    </x:row>
    <x:row r="239" ht="28" hidden="0" customHeight="1">
      <x:c r="A239" s="10" t="d">
        <x:v>2027-05-27T00:00:00.000Z</x:v>
      </x:c>
      <x:c r="B239" s="9" t="str">
        <x:v>чт</x:v>
      </x:c>
      <x:c r="C239" s="9" t="n">
        <x:v>39</x:v>
      </x:c>
      <x:c r="D239" s="9" t="str">
        <x:v>повторение</x:v>
      </x:c>
      <x:c r="E239" s="9" t="str">
        <x:v>Разбор прежних ошибок без нового исследования</x:v>
      </x:c>
      <x:c r="F239" s="9" t="str">
        <x:v>Повторить: Пробел модели; ошибка среды; уже найденное исправление; следующий короткий шаг.</x:v>
      </x:c>
      <x:c r="G239" s="9" t="str">
        <x:v>Выпиши три старые ошибки и уже найденные исправления. Отметь один вопрос для следующей обычной недели.</x:v>
      </x:c>
      <x:c r="H239" s="9" t="str">
        <x:v>Только свои старые заметки</x:v>
      </x:c>
      <x:c r="I239" s="9" t="str">
        <x:v>Своя готовая заметка по теме; нового чтения нет</x:v>
      </x:c>
      <x:c r="J239" s="9" t="str">
        <x:v>Подтверждён предыдущий механизм; действуют условия темы и разрешённой лаборатории.</x:v>
      </x:c>
      <x:c r="K239" s="9" t="str">
        <x:v>Какую ошибку ты теперь можешь объяснить без инструмента?</x:v>
      </x:c>
      <x:c r="L239" s="9" t="str">
        <x:v>2027-05-27_note.md: вход, ожидание, факт, вывод, контроль</x:v>
      </x:c>
      <x:c r="M239" s="12"/>
      <x:c r="N239" s="12"/>
      <x:c r="O239" s="12"/>
      <x:c r="P239" s="14"/>
      <x:c r="Q239" s="9" t="str">
        <x:v>своя заметка</x:v>
      </x:c>
      <x:c r="R239" s="10" t="d">
        <x:v>2027-05-31T00:00:00.000Z</x:v>
      </x:c>
      <x:c r="S239" s="10" t="d">
        <x:v>2027-06-03T00:00:00.000Z</x:v>
      </x:c>
      <x:c r="T239" s="10" t="d">
        <x:v>2027-06-30T00:00:00.000Z</x:v>
      </x:c>
    </x:row>
    <x:row r="240" ht="28" hidden="0" customHeight="1">
      <x:c r="A240" s="10" t="d">
        <x:v>2027-05-28T00:00:00.000Z</x:v>
      </x:c>
      <x:c r="B240" s="9" t="str">
        <x:v>пт</x:v>
      </x:c>
      <x:c r="C240" s="9" t="n">
        <x:v>39</x:v>
      </x:c>
      <x:c r="D240" s="9" t="str">
        <x:v>повторение</x:v>
      </x:c>
      <x:c r="E240" s="9" t="str">
        <x:v>Сохранение состояния незавершённой работы</x:v>
      </x:c>
      <x:c r="F240" s="9" t="str">
        <x:v>Повторить: Snapshot; подтверждённые входы; ссылка на результат; первый незавершённый шаг.</x:v>
      </x:c>
      <x:c r="G240" s="9" t="str">
        <x:v>Запиши snapshot, вход, последнее наблюдение и один незавершённый шаг. Закрой работу в пределах короткого блока.</x:v>
      </x:c>
      <x:c r="H240" s="9" t="str">
        <x:v>Только свои старые заметки</x:v>
      </x:c>
      <x:c r="I240" s="9" t="str">
        <x:v>Своя готовая заметка по теме; нового чтения нет</x:v>
      </x:c>
      <x:c r="J240" s="9" t="str">
        <x:v>Подтверждён предыдущий механизм; действуют условия темы и разрешённой лаборатории.</x:v>
      </x:c>
      <x:c r="K240" s="9" t="str">
        <x:v>Какой ровно один шаг будет первым после паузы?</x:v>
      </x:c>
      <x:c r="L240" s="9" t="str">
        <x:v>2027-05-28_note.md: вход, ожидание, факт, вывод, контроль</x:v>
      </x:c>
      <x:c r="M240" s="12"/>
      <x:c r="N240" s="12"/>
      <x:c r="O240" s="12"/>
      <x:c r="P240" s="14"/>
      <x:c r="Q240" s="9" t="str">
        <x:v>своя заметка</x:v>
      </x:c>
      <x:c r="R240" s="10" t="d">
        <x:v>2027-05-31T00:00:00.000Z</x:v>
      </x:c>
      <x:c r="S240" s="10" t="d">
        <x:v>2027-06-04T00:00:00.000Z</x:v>
      </x:c>
      <x:c r="T240" s="10" t="d">
        <x:v>2027-06-30T00:00:00.000Z</x:v>
      </x:c>
    </x:row>
    <x:row r="241" ht="28" hidden="0" customHeight="1">
      <x:c r="A241" s="10" t="d">
        <x:v>2027-05-29T00:00:00.000Z</x:v>
      </x:c>
      <x:c r="B241" s="9" t="str">
        <x:v>сб</x:v>
      </x:c>
      <x:c r="C241" s="9" t="n">
        <x:v>39</x:v>
      </x:c>
      <x:c r="D241" s="9" t="str">
        <x:v>повторение</x:v>
      </x:c>
      <x:c r="E241" s="9" t="str">
        <x:v>Короткая ретроспектива готового материала по самочувствию</x:v>
      </x:c>
      <x:c r="F241" s="9" t="str">
        <x:v>Повторить: Один освоенный механизм и одно его ограничение из своей заметки; при усталости отдых.</x:v>
      </x:c>
      <x:c r="G241" s="9" t="str">
        <x:v>Если блок назначен, назови один усвоенный механизм и одно ограничение. Если устал — отметь отмену и отдых.</x:v>
      </x:c>
      <x:c r="H241" s="9" t="str">
        <x:v>Только свои старые заметки</x:v>
      </x:c>
      <x:c r="I241" s="9" t="str">
        <x:v>Своя готовая заметка по теме; нового чтения нет</x:v>
      </x:c>
      <x:c r="J241" s="9" t="str">
        <x:v>Подтверждён предыдущий механизм; действуют условия темы и разрешённой лаборатории.</x:v>
      </x:c>
      <x:c r="K241" s="9" t="str">
        <x:v>Какая старая предпосылка чаще всего пропускалась?</x:v>
      </x:c>
      <x:c r="L241" s="9" t="str">
        <x:v>2027-05-29_note.md: вход, ожидание, факт, вывод, контроль</x:v>
      </x:c>
      <x:c r="M241" s="12"/>
      <x:c r="N241" s="12"/>
      <x:c r="O241" s="12"/>
      <x:c r="P241" s="14"/>
      <x:c r="Q241" s="9" t="str">
        <x:v>своя заметка</x:v>
      </x:c>
      <x:c r="R241" s="10" t="d">
        <x:v>2027-05-31T00:00:00.000Z</x:v>
      </x:c>
      <x:c r="S241" s="10" t="d">
        <x:v>2027-06-07T00:00:00.000Z</x:v>
      </x:c>
      <x:c r="T241" s="10" t="d">
        <x:v>2027-06-30T00:00:00.000Z</x:v>
      </x:c>
    </x:row>
    <x:row r="242" ht="19" hidden="0" customHeight="1">
      <x:c r="A242" s="10" t="d">
        <x:v>2027-05-30T00:00:00.000Z</x:v>
      </x:c>
      <x:c r="B242" s="9" t="str">
        <x:v>вс</x:v>
      </x:c>
      <x:c r="C242" s="9" t="n">
        <x:v>39</x:v>
      </x:c>
      <x:c r="D242" s="9" t="str">
        <x:v>пауза</x:v>
      </x:c>
      <x:c r="E242" s="9" t="str">
        <x:v>Учебная пауза и восстановление</x:v>
      </x:c>
      <x:c r="F242" s="9" t="str">
        <x:v>Новых учебных задач нет.</x:v>
      </x:c>
      <x:c r="G242" s="9" t="str">
        <x:v>Практика не назначена</x:v>
      </x:c>
      <x:c r="H242" s="9" t="str">
        <x:v>Не требуется</x:v>
      </x:c>
      <x:c r="I242" s="9" t="str">
        <x:v>Чтение не назначено</x:v>
      </x:c>
      <x:c r="J242" s="9" t="str">
        <x:v>Учебная пауза; допуск и практику сегодня не проверять.</x:v>
      </x:c>
      <x:c r="K242" s="9" t="str">
        <x:v>Учебного зачёта сегодня нет.</x:v>
      </x:c>
      <x:c r="L242" s="9" t="str">
        <x:v>Учебного артефакта нет</x:v>
      </x:c>
      <x:c r="M242" s="12"/>
      <x:c r="N242" s="12"/>
      <x:c r="O242" s="12"/>
      <x:c r="P242" s="14"/>
      <x:c r="Q242" s="9" t="str">
        <x:v>пауза</x:v>
      </x:c>
      <x:c r="R242" s="10"/>
      <x:c r="S242" s="10"/>
      <x:c r="T242" s="10"/>
    </x:row>
    <x:row r="243" ht="76" hidden="0" customHeight="1">
      <x:c r="A243" s="10" t="d">
        <x:v>2027-05-31T00:00:00.000Z</x:v>
      </x:c>
      <x:c r="B243" s="9" t="str">
        <x:v>пн</x:v>
      </x:c>
      <x:c r="C243" s="9" t="n">
        <x:v>40</x:v>
      </x:c>
      <x:c r="D243" s="9" t="str">
        <x:v>изучение</x:v>
      </x:c>
      <x:c r="E243" s="9" t="str">
        <x:v>PE header и представление image Windows</x:v>
      </x:c>
      <x:c r="F243" s="9" t="str">
        <x:v>Разобрать: Machine и архитектура; file layout; virtual layout; секции собственного PE.</x:v>
      </x:c>
      <x:c r="G243" s="9" t="str">
        <x:v>На своём PE запиши Machine, entry point и image base. Сохрани hash и источник файла.</x:v>
      </x:c>
      <x:c r="H243" s="9" t="str">
        <x:v>Windows-VM, свой PE, x64dbg</x:v>
      </x:c>
      <x:c r="I243" s="9" t="str">
        <x:v>RU34 Microsoft Learn Формат PE — PE заголовки; секции; RVA; импорт
https://learn.microsoft.com/ru-ru/windows/win32/debug/pe-format
RU33 Microsoft Learn Соглашение о вызовах x64 — Windows x64 ABI
https://learn.microsoft.com/ru-ru/cpp/build/x64-calling-convention?view=msvc-170</x:v>
      </x:c>
      <x:c r="J243" s="9" t="str">
        <x:v>Освоены ABI, статический и динамический анализ: ABI и наблюдение ветви; собственный PE и выделенная Windows-VM доступны.</x:v>
      </x:c>
      <x:c r="K243" s="9" t="str">
        <x:v>Как подтвердить архитектуру конкретного PE?</x:v>
      </x:c>
      <x:c r="L243" s="9" t="str">
        <x:v>2027-05-31_note.md: вход, ожидание, факт, вывод, контроль</x:v>
      </x:c>
      <x:c r="M243" s="12"/>
      <x:c r="N243" s="12"/>
      <x:c r="O243" s="12"/>
      <x:c r="P243" s="14"/>
      <x:c r="Q243" s="9" t="str">
        <x:v>RU34 RU33</x:v>
      </x:c>
      <x:c r="R243" s="10" t="d">
        <x:v>2027-06-01T00:00:00.000Z</x:v>
      </x:c>
      <x:c r="S243" s="10" t="d">
        <x:v>2027-06-07T00:00:00.000Z</x:v>
      </x:c>
      <x:c r="T243" s="10" t="d">
        <x:v>2027-06-30T00:00:00.000Z</x:v>
      </x:c>
    </x:row>
    <x:row r="244" ht="76" hidden="0" customHeight="1">
      <x:c r="A244" s="10" t="d">
        <x:v>2027-06-01T00:00:00.000Z</x:v>
      </x:c>
      <x:c r="B244" s="9" t="str">
        <x:v>вт</x:v>
      </x:c>
      <x:c r="C244" s="9" t="n">
        <x:v>40</x:v>
      </x:c>
      <x:c r="D244" s="9" t="str">
        <x:v>изучение</x:v>
      </x:c>
      <x:c r="E244" s="9" t="str">
        <x:v>Windows x86 reversing is cool — шаг 1 из 4</x:v>
      </x:c>
      <x:c r="F244" s="9" t="str">
        <x:v>Изучить и проверить: PE и RVA/file offset; Windows x86 ABI; динамическая ветвь и отличие от Windows x64.</x:v>
      </x:c>
      <x:c r="G244" s="9" t="str">
        <x:v>Получи выданный файл RN02. Подтверди формат и разрядность; свяжи один RVA с file offset в фактической секции. При недоступности — локальная замена из карточки RN02 в документе 12.
Локальная замена: На собственном PE из сохранённой Windows-сборки свяжи RVA/file offset, imports и одну проверку. Подтверди ветвь обычным и неверным входом; сравни ABI 32/64 по документации.</x:v>
      </x:c>
      <x:c r="H244" s="9" t="str">
        <x:v>Ghidra, x32dbg/x64dbg по архитектуре, file</x:v>
      </x:c>
      <x:c r="I244" s="9" t="str">
        <x:v>RU34 Microsoft Learn Формат PE — PE: заголовки, секции и imports
https://learn.microsoft.com/ru-ru/windows/win32/debug/pe-format
RU33 Microsoft Learn Соглашение о вызовах x64 — Для сравнения: Windows x64 ABI
https://learn.microsoft.com/ru-ru/cpp/build/x64-calling-convention?view=msvc-170</x:v>
      </x:c>
      <x:c r="J244" s="9" t="str">
        <x:v>PE-введение 31 мая; C, GDB, Ghidra, обычные/неверные входы; x86-32 не считать x64.</x:v>
      </x:c>
      <x:c r="K244" s="9" t="str">
        <x:v>Что подтверждено собственным наблюдением, какой неверный контроль это ограничивает и смогу ли я повторить шаг без ИИ?</x:v>
      </x:c>
      <x:c r="L244" s="9" t="str">
        <x:v>2027-06-01_RN02_note.md: вход, версия, наблюдение, контроль, подсказки и следующий шаг</x:v>
      </x:c>
      <x:c r="M244" s="12"/>
      <x:c r="N244" s="12"/>
      <x:c r="O244" s="12"/>
      <x:c r="P244" s="14"/>
      <x:c r="Q244" s="9" t="str">
        <x:v>RN02 Windows x86 reversing is cool; шаг 1/4
https://ringzer0ctf.com/challenges/28</x:v>
      </x:c>
      <x:c r="R244" s="10" t="d">
        <x:v>2027-06-02T00:00:00.000Z</x:v>
      </x:c>
      <x:c r="S244" s="10" t="d">
        <x:v>2027-06-08T00:00:00.000Z</x:v>
      </x:c>
      <x:c r="T244" s="10" t="d">
        <x:v>2027-06-30T00:00:00.000Z</x:v>
      </x:c>
    </x:row>
    <x:row r="245" ht="76" hidden="0" customHeight="1">
      <x:c r="A245" s="10" t="d">
        <x:v>2027-06-02T00:00:00.000Z</x:v>
      </x:c>
      <x:c r="B245" s="9" t="str">
        <x:v>ср</x:v>
      </x:c>
      <x:c r="C245" s="9" t="n">
        <x:v>40</x:v>
      </x:c>
      <x:c r="D245" s="9" t="str">
        <x:v>изучение</x:v>
      </x:c>
      <x:c r="E245" s="9" t="str">
        <x:v>Windows x86 reversing is cool — шаг 2 из 4</x:v>
      </x:c>
      <x:c r="F245" s="9" t="str">
        <x:v>Изучить и проверить: PE и RVA/file offset; Windows x86 ABI; динамическая ветвь и отличие от Windows x64.</x:v>
      </x:c>
      <x:c r="G245" s="9" t="str">
        <x:v>Сопоставь imports и одну функцию проверки; отдели результаты декомпилятора от наблюдений листинга. При недоступности — локальная замена из карточки RN02 в документе 12.
Локальная замена: На собственном PE из сохранённой Windows-сборки свяжи RVA/file offset, imports и одну проверку. Подтверди ветвь обычным и неверным входом; сравни ABI 32/64 по документации.</x:v>
      </x:c>
      <x:c r="H245" s="9" t="str">
        <x:v>Ghidra, x32dbg/x64dbg по архитектуре, file</x:v>
      </x:c>
      <x:c r="I245" s="9" t="str">
        <x:v>RU34 Microsoft Learn Формат PE — PE: заголовки, секции и imports
https://learn.microsoft.com/ru-ru/windows/win32/debug/pe-format
RU33 Microsoft Learn Соглашение о вызовах x64 — Для сравнения: Windows x64 ABI
https://learn.microsoft.com/ru-ru/cpp/build/x64-calling-convention?view=msvc-170</x:v>
      </x:c>
      <x:c r="J245" s="9" t="str">
        <x:v>PE-введение 31 мая; C, GDB, Ghidra, обычные/неверные входы; x86-32 не считать x64.</x:v>
      </x:c>
      <x:c r="K245" s="9" t="str">
        <x:v>Что подтверждено собственным наблюдением, какой неверный контроль это ограничивает и смогу ли я повторить шаг без ИИ?</x:v>
      </x:c>
      <x:c r="L245" s="9" t="str">
        <x:v>2027-06-02_RN02_note.md: вход, версия, наблюдение, контроль, подсказки и следующий шаг</x:v>
      </x:c>
      <x:c r="M245" s="12"/>
      <x:c r="N245" s="12"/>
      <x:c r="O245" s="12"/>
      <x:c r="P245" s="14"/>
      <x:c r="Q245" s="9" t="str">
        <x:v>RN02 Windows x86 reversing is cool; шаг 2/4
https://ringzer0ctf.com/challenges/28</x:v>
      </x:c>
      <x:c r="R245" s="10" t="d">
        <x:v>2027-06-03T00:00:00.000Z</x:v>
      </x:c>
      <x:c r="S245" s="10" t="d">
        <x:v>2027-06-09T00:00:00.000Z</x:v>
      </x:c>
      <x:c r="T245" s="10" t="d">
        <x:v>2027-06-30T00:00:00.000Z</x:v>
      </x:c>
    </x:row>
    <x:row r="246" ht="76" hidden="0" customHeight="1">
      <x:c r="A246" s="10" t="d">
        <x:v>2027-06-03T00:00:00.000Z</x:v>
      </x:c>
      <x:c r="B246" s="9" t="str">
        <x:v>чт</x:v>
      </x:c>
      <x:c r="C246" s="9" t="n">
        <x:v>40</x:v>
      </x:c>
      <x:c r="D246" s="9" t="str">
        <x:v>изучение</x:v>
      </x:c>
      <x:c r="E246" s="9" t="str">
        <x:v>Windows x86 reversing is cool — шаг 3 из 4</x:v>
      </x:c>
      <x:c r="F246" s="9" t="str">
        <x:v>Изучить и проверить: PE и RVA/file offset; Windows x86 ABI; динамическая ветвь и отличие от Windows x64.</x:v>
      </x:c>
      <x:c r="G246" s="9" t="str">
        <x:v>В подходящем отладчике сравни обычный и неверный входы. Запиши условную ветвь и минимальный trace. При недоступности — локальная замена из карточки RN02 в документе 12.
Локальная замена: На собственном PE из сохранённой Windows-сборки свяжи RVA/file offset, imports и одну проверку. Подтверди ветвь обычным и неверным входом; сравни ABI 32/64 по документации.</x:v>
      </x:c>
      <x:c r="H246" s="9" t="str">
        <x:v>Ghidra, x32dbg/x64dbg по архитектуре, file</x:v>
      </x:c>
      <x:c r="I246" s="9" t="str">
        <x:v>RU34 Microsoft Learn Формат PE — PE: заголовки, секции и imports
https://learn.microsoft.com/ru-ru/windows/win32/debug/pe-format
RU33 Microsoft Learn Соглашение о вызовах x64 — Для сравнения: Windows x64 ABI
https://learn.microsoft.com/ru-ru/cpp/build/x64-calling-convention?view=msvc-170</x:v>
      </x:c>
      <x:c r="J246" s="9" t="str">
        <x:v>PE-введение 31 мая; C, GDB, Ghidra, обычные/неверные входы; x86-32 не считать x64.</x:v>
      </x:c>
      <x:c r="K246" s="9" t="str">
        <x:v>Что подтверждено собственным наблюдением, какой неверный контроль это ограничивает и смогу ли я повторить шаг без ИИ?</x:v>
      </x:c>
      <x:c r="L246" s="9" t="str">
        <x:v>2027-06-03_RN02_note.md: вход, версия, наблюдение, контроль, подсказки и следующий шаг</x:v>
      </x:c>
      <x:c r="M246" s="12"/>
      <x:c r="N246" s="12"/>
      <x:c r="O246" s="12"/>
      <x:c r="P246" s="14"/>
      <x:c r="Q246" s="9" t="str">
        <x:v>RN02 Windows x86 reversing is cool; шаг 3/4
https://ringzer0ctf.com/challenges/28</x:v>
      </x:c>
      <x:c r="R246" s="10" t="d">
        <x:v>2027-06-04T00:00:00.000Z</x:v>
      </x:c>
      <x:c r="S246" s="10" t="d">
        <x:v>2027-06-10T00:00:00.000Z</x:v>
      </x:c>
      <x:c r="T246" s="10" t="d">
        <x:v>2027-07-01T00:00:00.000Z</x:v>
      </x:c>
    </x:row>
    <x:row r="247" ht="76" hidden="0" customHeight="1">
      <x:c r="A247" s="10" t="d">
        <x:v>2027-06-04T00:00:00.000Z</x:v>
      </x:c>
      <x:c r="B247" s="9" t="str">
        <x:v>пт</x:v>
      </x:c>
      <x:c r="C247" s="9" t="n">
        <x:v>40</x:v>
      </x:c>
      <x:c r="D247" s="9" t="str">
        <x:v>изучение</x:v>
      </x:c>
      <x:c r="E247" s="9" t="str">
        <x:v>Windows x86 reversing is cool — шаг 4 из 4</x:v>
      </x:c>
      <x:c r="F247" s="9" t="str">
        <x:v>Изучить и проверить: PE и RVA/file offset; Windows x86 ABI; динамическая ветвь и отличие от Windows x64.</x:v>
      </x:c>
      <x:c r="G247" s="9" t="str">
        <x:v>Объясни фактический ABI и сравни с Windows x64/CFG по RU33/RU32. Заверши ответ площадки или сохрани точный незавершённый шаг и два контроля. При недоступности — локальная замена из карточки RN02 в документе 12.
Локальная замена: На собственном PE из сохранённой Windows-сборки свяжи RVA/file offset, imports и одну проверку. Подтверди ветвь обычным и неверным входом; сравни ABI 32/64 по документации.</x:v>
      </x:c>
      <x:c r="H247" s="9" t="str">
        <x:v>Ghidra, x32dbg/x64dbg по архитектуре, file</x:v>
      </x:c>
      <x:c r="I247" s="9" t="str">
        <x:v>RU34 Microsoft Learn Формат PE — PE: заголовки, секции и imports
https://learn.microsoft.com/ru-ru/windows/win32/debug/pe-format
RU33 Microsoft Learn Соглашение о вызовах x64 — Для сравнения: Windows x64 ABI
https://learn.microsoft.com/ru-ru/cpp/build/x64-calling-convention?view=msvc-170</x:v>
      </x:c>
      <x:c r="J247" s="9" t="str">
        <x:v>PE-введение 31 мая; C, GDB, Ghidra, обычные/неверные входы; x86-32 не считать x64.</x:v>
      </x:c>
      <x:c r="K247" s="9" t="str">
        <x:v>Что подтверждено собственным наблюдением, какой неверный контроль это ограничивает и смогу ли я повторить шаг без ИИ?</x:v>
      </x:c>
      <x:c r="L247" s="9" t="str">
        <x:v>2027-06-04_RN02_note.md: вход, версия, наблюдение, контроль, подсказки и следующий шаг</x:v>
      </x:c>
      <x:c r="M247" s="12"/>
      <x:c r="N247" s="12"/>
      <x:c r="O247" s="12"/>
      <x:c r="P247" s="14"/>
      <x:c r="Q247" s="9" t="str">
        <x:v>RN02 Windows x86 reversing is cool; шаг 4/4
https://ringzer0ctf.com/challenges/28</x:v>
      </x:c>
      <x:c r="R247" s="10" t="d">
        <x:v>2027-06-07T00:00:00.000Z</x:v>
      </x:c>
      <x:c r="S247" s="10" t="d">
        <x:v>2027-06-11T00:00:00.000Z</x:v>
      </x:c>
      <x:c r="T247" s="10" t="d">
        <x:v>2027-07-02T00:00:00.000Z</x:v>
      </x:c>
    </x:row>
    <x:row r="248" ht="19" hidden="0" customHeight="1">
      <x:c r="A248" s="10" t="d">
        <x:v>2027-06-05T00:00:00.000Z</x:v>
      </x:c>
      <x:c r="B248" s="9" t="str">
        <x:v>сб</x:v>
      </x:c>
      <x:c r="C248" s="9" t="n">
        <x:v>40</x:v>
      </x:c>
      <x:c r="D248" s="9" t="str">
        <x:v>пауза</x:v>
      </x:c>
      <x:c r="E248" s="9" t="str">
        <x:v>Учебная пауза и восстановление</x:v>
      </x:c>
      <x:c r="F248" s="9" t="str">
        <x:v>Новых учебных задач нет.</x:v>
      </x:c>
      <x:c r="G248" s="9" t="str">
        <x:v>Практика не назначена</x:v>
      </x:c>
      <x:c r="H248" s="9" t="str">
        <x:v>Не требуется</x:v>
      </x:c>
      <x:c r="I248" s="9" t="str">
        <x:v>Чтение не назначено</x:v>
      </x:c>
      <x:c r="J248" s="9" t="str">
        <x:v>Учебная пауза; допуск и практику сегодня не проверять.</x:v>
      </x:c>
      <x:c r="K248" s="9" t="str">
        <x:v>Учебного зачёта сегодня нет.</x:v>
      </x:c>
      <x:c r="L248" s="9" t="str">
        <x:v>Учебного артефакта нет</x:v>
      </x:c>
      <x:c r="M248" s="12"/>
      <x:c r="N248" s="12"/>
      <x:c r="O248" s="12"/>
      <x:c r="P248" s="14"/>
      <x:c r="Q248" s="9" t="str">
        <x:v>пауза</x:v>
      </x:c>
      <x:c r="R248" s="10"/>
      <x:c r="S248" s="10"/>
      <x:c r="T248" s="10"/>
    </x:row>
    <x:row r="249" ht="19" hidden="0" customHeight="1">
      <x:c r="A249" s="10" t="d">
        <x:v>2027-06-06T00:00:00.000Z</x:v>
      </x:c>
      <x:c r="B249" s="9" t="str">
        <x:v>вс</x:v>
      </x:c>
      <x:c r="C249" s="9" t="n">
        <x:v>40</x:v>
      </x:c>
      <x:c r="D249" s="9" t="str">
        <x:v>пауза</x:v>
      </x:c>
      <x:c r="E249" s="9" t="str">
        <x:v>Учебная пауза и восстановление</x:v>
      </x:c>
      <x:c r="F249" s="9" t="str">
        <x:v>Новых учебных задач нет.</x:v>
      </x:c>
      <x:c r="G249" s="9" t="str">
        <x:v>Практика не назначена</x:v>
      </x:c>
      <x:c r="H249" s="9" t="str">
        <x:v>Не требуется</x:v>
      </x:c>
      <x:c r="I249" s="9" t="str">
        <x:v>Чтение не назначено</x:v>
      </x:c>
      <x:c r="J249" s="9" t="str">
        <x:v>Учебная пауза; допуск и практику сегодня не проверять.</x:v>
      </x:c>
      <x:c r="K249" s="9" t="str">
        <x:v>Учебного зачёта сегодня нет.</x:v>
      </x:c>
      <x:c r="L249" s="9" t="str">
        <x:v>Учебного артефакта нет</x:v>
      </x:c>
      <x:c r="M249" s="12"/>
      <x:c r="N249" s="12"/>
      <x:c r="O249" s="12"/>
      <x:c r="P249" s="14"/>
      <x:c r="Q249" s="9" t="str">
        <x:v>пауза</x:v>
      </x:c>
      <x:c r="R249" s="10"/>
      <x:c r="S249" s="10"/>
      <x:c r="T249" s="10"/>
    </x:row>
    <x:row r="250" ht="76" hidden="0" customHeight="1">
      <x:c r="A250" s="10" t="d">
        <x:v>2027-06-07T00:00:00.000Z</x:v>
      </x:c>
      <x:c r="B250" s="9" t="str">
        <x:v>пн</x:v>
      </x:c>
      <x:c r="C250" s="9" t="n">
        <x:v>41</x:v>
      </x:c>
      <x:c r="D250" s="9" t="str">
        <x:v>изучение</x:v>
      </x:c>
      <x:c r="E250" s="9" t="str">
        <x:v>Исследование исправленного дефекта по первичному источнику</x:v>
      </x:c>
      <x:c r="F250" s="9" t="str">
        <x:v>Разобрать: Advisory; affected conditions; patch; достижимость; непроверенные условия.</x:v>
      </x:c>
      <x:c r="G250" s="9" t="str">
        <x:v>Выбери один уже исправленный дефект по официальному advisory и доступному patch. Составь карточку условий. Для практики используй свою небольшую модель причины либо выданную lab, а не внешнюю цель.</x:v>
      </x:c>
      <x:c r="H250" s="9" t="str">
        <x:v>Официальный advisory, Git diff, свой parser</x:v>
      </x:c>
      <x:c r="I250" s="9" t="str">
        <x:v>RU25 Скотт Чакон Бен Штрауб Pro Git — Просмотр diff и истории
https://git-scm.com/book/ru/v2
RU36 Securelist Разбор CVE 2023 23397 — Пример разбора исправления и ограничений
https://securelist.ru/analysis-of-attack-samples-exploiting-cve-2023-23397/107696/</x:v>
      </x:c>
      <x:c r="J250" s="9" t="str">
        <x:v>Освоены отладка, фаззинг или PE по формату задачи: повторяемый опыт; официальный advisory и контекст исправления доступны.</x:v>
      </x:c>
      <x:c r="K250" s="9" t="str">
        <x:v>Какие условия продукта отсутствуют в твоей учебной модели?</x:v>
      </x:c>
      <x:c r="L250" s="9" t="str">
        <x:v>Карточка дефекта с границей применимости</x:v>
      </x:c>
      <x:c r="M250" s="12"/>
      <x:c r="N250" s="12"/>
      <x:c r="O250" s="12"/>
      <x:c r="P250" s="14"/>
      <x:c r="Q250" s="9" t="str">
        <x:v>RU25 RU36</x:v>
      </x:c>
      <x:c r="R250" s="10" t="d">
        <x:v>2027-06-08T00:00:00.000Z</x:v>
      </x:c>
      <x:c r="S250" s="10" t="d">
        <x:v>2027-06-14T00:00:00.000Z</x:v>
      </x:c>
      <x:c r="T250" s="10" t="d">
        <x:v>2027-07-05T00:00:00.000Z</x:v>
      </x:c>
    </x:row>
    <x:row r="251" ht="76" hidden="0" customHeight="1">
      <x:c r="A251" s="10" t="d">
        <x:v>2027-06-08T00:00:00.000Z</x:v>
      </x:c>
      <x:c r="B251" s="9" t="str">
        <x:v>вт</x:v>
      </x:c>
      <x:c r="C251" s="9" t="n">
        <x:v>41</x:v>
      </x:c>
      <x:c r="D251" s="9" t="str">
        <x:v>изучение</x:v>
      </x:c>
      <x:c r="E251" s="9" t="str">
        <x:v>Версия продукта и достижимость исправленного участка</x:v>
      </x:c>
      <x:c r="F251" s="9" t="str">
        <x:v>Разобрать: Версия и конфигурация; путь данных; вызывающая функция; предусловие.</x:v>
      </x:c>
      <x:c r="G251" s="9" t="str">
        <x:v>На подготовленном исходном коде проследи один вход до изменённой функции. Отметь каждое неподтверждённое условие и проверь только один выбранный переход в своей модели.</x:v>
      </x:c>
      <x:c r="H251" s="9" t="str">
        <x:v>Git, исходник своей модели</x:v>
      </x:c>
      <x:c r="I251" s="9" t="str">
        <x:v>RU25 Скотт Чакон Бен Штрауб Pro Git — Просмотр diff и истории
https://git-scm.com/book/ru/v2
RU36 Securelist Разбор CVE 2023 23397 — Пример разбора исправления и ограничений
https://securelist.ru/analysis-of-attack-samples-exploiting-cve-2023-23397/107696/</x:v>
      </x:c>
      <x:c r="J251" s="9" t="str">
        <x:v>отладка и фаззинг либо PE по формату: повторяемый опыт; официальный advisory и контекст исправления доступны.</x:v>
      </x:c>
      <x:c r="K251" s="9" t="str">
        <x:v>Почему совпадение версии ещё не доказывает достижимость дефекта?</x:v>
      </x:c>
      <x:c r="L251" s="9" t="str">
        <x:v>Карта одного пути данных и неизвестные условия</x:v>
      </x:c>
      <x:c r="M251" s="12"/>
      <x:c r="N251" s="12"/>
      <x:c r="O251" s="12"/>
      <x:c r="P251" s="14"/>
      <x:c r="Q251" s="9" t="str">
        <x:v>RU25 RU36</x:v>
      </x:c>
      <x:c r="R251" s="10" t="d">
        <x:v>2027-06-09T00:00:00.000Z</x:v>
      </x:c>
      <x:c r="S251" s="10" t="d">
        <x:v>2027-06-15T00:00:00.000Z</x:v>
      </x:c>
      <x:c r="T251" s="10" t="d">
        <x:v>2027-07-06T00:00:00.000Z</x:v>
      </x:c>
    </x:row>
    <x:row r="252" ht="76" hidden="0" customHeight="1">
      <x:c r="A252" s="10" t="d">
        <x:v>2027-06-09T00:00:00.000Z</x:v>
      </x:c>
      <x:c r="B252" s="9" t="str">
        <x:v>ср</x:v>
      </x:c>
      <x:c r="C252" s="9" t="n">
        <x:v>41</x:v>
      </x:c>
      <x:c r="D252" s="9" t="str">
        <x:v>изучение</x:v>
      </x:c>
      <x:c r="E252" s="9" t="str">
        <x:v>Diff исправления и нарушенный договор функции</x:v>
      </x:c>
      <x:c r="F252" s="9" t="str">
        <x:v>Разобрать: Прежняя проверка; новая проверка; граница данных; обычный случай.</x:v>
      </x:c>
      <x:c r="G252" s="9" t="str">
        <x:v>Разбери один небольшой patch своей модели или опубликованного примера. До запуска предскажи результат для ошибочного и нормального входов. Сверь с наблюдением.</x:v>
      </x:c>
      <x:c r="H252" s="9" t="str">
        <x:v>Git diff, свой parser</x:v>
      </x:c>
      <x:c r="I252" s="9" t="str">
        <x:v>RU25 Скотт Чакон Бен Штрауб Pro Git — Просмотр diff и истории
https://git-scm.com/book/ru/v2
RU36 Securelist Разбор CVE 2023 23397 — Пример разбора исправления и ограничений
https://securelist.ru/analysis-of-attack-samples-exploiting-cve-2023-23397/107696/</x:v>
      </x:c>
      <x:c r="J252" s="9" t="str">
        <x:v>отладка и фаззинг либо PE по формату: повторяемый опыт; официальный advisory и контекст исправления доступны.</x:v>
      </x:c>
      <x:c r="K252" s="9" t="str">
        <x:v>Какое свойство добавленная проверка сохраняет для нормального входа?</x:v>
      </x:c>
      <x:c r="L252" s="9" t="str">
        <x:v>Аннотированный diff и два предсказания с фактом</x:v>
      </x:c>
      <x:c r="M252" s="12"/>
      <x:c r="N252" s="12"/>
      <x:c r="O252" s="12"/>
      <x:c r="P252" s="14"/>
      <x:c r="Q252" s="9" t="str">
        <x:v>RU25 RU36</x:v>
      </x:c>
      <x:c r="R252" s="10" t="d">
        <x:v>2027-06-10T00:00:00.000Z</x:v>
      </x:c>
      <x:c r="S252" s="10" t="d">
        <x:v>2027-06-16T00:00:00.000Z</x:v>
      </x:c>
      <x:c r="T252" s="10" t="d">
        <x:v>2027-07-07T00:00:00.000Z</x:v>
      </x:c>
    </x:row>
    <x:row r="253" ht="88" hidden="0" customHeight="1">
      <x:c r="A253" s="10" t="d">
        <x:v>2027-06-10T00:00:00.000Z</x:v>
      </x:c>
      <x:c r="B253" s="9" t="str">
        <x:v>чт</x:v>
      </x:c>
      <x:c r="C253" s="9" t="n">
        <x:v>41</x:v>
      </x:c>
      <x:c r="D253" s="9" t="str">
        <x:v>изучение</x:v>
      </x:c>
      <x:c r="E253" s="9" t="str">
        <x:v>Локальная модель нарушенного договора parser</x:v>
      </x:c>
      <x:c r="F253" s="9" t="str">
        <x:v>Разобрать: Минимальный собственный пример; моделируемое условие; неподтверждённые условия продукта; границы вывода.</x:v>
      </x:c>
      <x:c r="G253" s="9" t="str">
        <x:v>Создай или используй свой короткий аналог defect в parser. Запиши, что он моделирует и что не воспроизводит.</x:v>
      </x:c>
      <x:c r="H253" s="9" t="str">
        <x:v>Официальный advisory, свой parser</x:v>
      </x:c>
      <x:c r="I253" s="9" t="str">
        <x:v>RU25 Скотт Чакон Бен Штрауб Pro Git — Глава 2: просмотр изменений и истории
https://git-scm.com/book/ru/v2
RU36 Securelist Разбор CVE 2023 23397 — Раздел об исправлении и пределах вывода
https://securelist.ru/analysis-of-attack-samples-exploiting-cve-2023-23397/107696/</x:v>
      </x:c>
      <x:c r="J253" s="9" t="str">
        <x:v>отладка и фаззинг либо PE по формату: повторяемый опыт; официальный advisory и контекст исправления доступны.</x:v>
      </x:c>
      <x:c r="K253" s="9" t="str">
        <x:v>Какое условие реального продукта отсутствует в локальной модели?</x:v>
      </x:c>
      <x:c r="L253" s="9" t="str">
        <x:v>2027-06-10_note.md: вход, ожидание, факт, вывод, контроль</x:v>
      </x:c>
      <x:c r="M253" s="12"/>
      <x:c r="N253" s="12"/>
      <x:c r="O253" s="12"/>
      <x:c r="P253" s="14"/>
      <x:c r="Q253" s="9" t="str">
        <x:v>RU25 RU36</x:v>
      </x:c>
      <x:c r="R253" s="10" t="d">
        <x:v>2027-06-11T00:00:00.000Z</x:v>
      </x:c>
      <x:c r="S253" s="10" t="d">
        <x:v>2027-06-17T00:00:00.000Z</x:v>
      </x:c>
      <x:c r="T253" s="10" t="d">
        <x:v>2027-07-08T00:00:00.000Z</x:v>
      </x:c>
    </x:row>
    <x:row r="254" ht="88" hidden="0" customHeight="1">
      <x:c r="A254" s="10" t="d">
        <x:v>2027-06-11T00:00:00.000Z</x:v>
      </x:c>
      <x:c r="B254" s="9" t="str">
        <x:v>пт</x:v>
      </x:c>
      <x:c r="C254" s="9" t="n">
        <x:v>41</x:v>
      </x:c>
      <x:c r="D254" s="9" t="str">
        <x:v>изучение</x:v>
      </x:c>
      <x:c r="E254" s="9" t="str">
        <x:v>Контроль до и после исправления локальной модели</x:v>
      </x:c>
      <x:c r="F254" s="9" t="str">
        <x:v>Разобрать: Одинаковый минимальный вход; исправленный вариант; обычный вход; сохранённое корректное поведение.</x:v>
      </x:c>
      <x:c r="G254" s="9" t="str">
        <x:v>Проверь минимальный вход на своих двух вариантах и обычный вход. Сохрани ответы и подтверждённую причину.</x:v>
      </x:c>
      <x:c r="H254" s="9" t="str">
        <x:v>Официальный advisory, свой parser</x:v>
      </x:c>
      <x:c r="I254" s="9" t="str">
        <x:v>RU25 Скотт Чакон Бен Штрауб Pro Git — Глава 2: просмотр изменений и истории
https://git-scm.com/book/ru/v2
RU36 Securelist Разбор CVE 2023 23397 — Раздел об исправлении и пределах вывода
https://securelist.ru/analysis-of-attack-samples-exploiting-cve-2023-23397/107696/</x:v>
      </x:c>
      <x:c r="J254" s="9" t="str">
        <x:v>отладка и фаззинг либо PE по формату: повторяемый опыт; официальный advisory и контекст исправления доступны.</x:v>
      </x:c>
      <x:c r="K254" s="9" t="str">
        <x:v>Какой контроль исключает простое выключение функции?</x:v>
      </x:c>
      <x:c r="L254" s="9" t="str">
        <x:v>2027-06-11_note.md: вход, ожидание, факт, вывод, контроль</x:v>
      </x:c>
      <x:c r="M254" s="12"/>
      <x:c r="N254" s="12"/>
      <x:c r="O254" s="12"/>
      <x:c r="P254" s="14"/>
      <x:c r="Q254" s="9" t="str">
        <x:v>RU25 RU36</x:v>
      </x:c>
      <x:c r="R254" s="10" t="d">
        <x:v>2027-06-12T00:00:00.000Z</x:v>
      </x:c>
      <x:c r="S254" s="10" t="d">
        <x:v>2027-06-18T00:00:00.000Z</x:v>
      </x:c>
      <x:c r="T254" s="10" t="d">
        <x:v>2027-07-09T00:00:00.000Z</x:v>
      </x:c>
    </x:row>
    <x:row r="255" ht="88" hidden="0" customHeight="1">
      <x:c r="A255" s="10" t="d">
        <x:v>2027-06-12T00:00:00.000Z</x:v>
      </x:c>
      <x:c r="B255" s="9" t="str">
        <x:v>сб</x:v>
      </x:c>
      <x:c r="C255" s="9" t="n">
        <x:v>41</x:v>
      </x:c>
      <x:c r="D255" s="9" t="str">
        <x:v>повторение</x:v>
      </x:c>
      <x:c r="E255" s="9" t="str">
        <x:v>Triage-отчёт и regression case своего примера</x:v>
      </x:c>
      <x:c r="F255" s="9" t="str">
        <x:v>Повторить: Первичный источник; модель причины; patch; проверка нарушенного договора и ограничения.</x:v>
      </x:c>
      <x:c r="G255" s="9" t="str">
        <x:v>Оформи triage и одну локальную regression-проверку. Приложи версии и повтор по README.</x:v>
      </x:c>
      <x:c r="H255" s="9" t="str">
        <x:v>Официальный advisory, свой parser</x:v>
      </x:c>
      <x:c r="I255" s="9" t="str">
        <x:v>RU25 Скотт Чакон Бен Штрауб Pro Git — Глава 2: просмотр изменений и истории
https://git-scm.com/book/ru/v2
RU36 Securelist Разбор CVE 2023 23397 — Раздел об исправлении и пределах вывода
https://securelist.ru/analysis-of-attack-samples-exploiting-cve-2023-23397/107696/</x:v>
      </x:c>
      <x:c r="J255" s="9" t="str">
        <x:v>отладка и фаззинг либо PE по формату: повторяемый опыт; официальный advisory и контекст исправления доступны.</x:v>
      </x:c>
      <x:c r="K255" s="9" t="str">
        <x:v>Какие выводы нельзя переносить с модели на реальный продукт?</x:v>
      </x:c>
      <x:c r="L255" s="9" t="str">
        <x:v>2027-06-12_note.md: вход, ожидание, факт, вывод, контроль</x:v>
      </x:c>
      <x:c r="M255" s="12"/>
      <x:c r="N255" s="12"/>
      <x:c r="O255" s="12"/>
      <x:c r="P255" s="14"/>
      <x:c r="Q255" s="9" t="str">
        <x:v>RU25 RU36</x:v>
      </x:c>
      <x:c r="R255" s="10" t="d">
        <x:v>2027-06-14T00:00:00.000Z</x:v>
      </x:c>
      <x:c r="S255" s="10" t="d">
        <x:v>2027-06-19T00:00:00.000Z</x:v>
      </x:c>
      <x:c r="T255" s="10" t="d">
        <x:v>2027-07-10T00:00:00.000Z</x:v>
      </x:c>
    </x:row>
    <x:row r="256" ht="19" hidden="0" customHeight="1">
      <x:c r="A256" s="10" t="d">
        <x:v>2027-06-13T00:00:00.000Z</x:v>
      </x:c>
      <x:c r="B256" s="9" t="str">
        <x:v>вс</x:v>
      </x:c>
      <x:c r="C256" s="9" t="n">
        <x:v>41</x:v>
      </x:c>
      <x:c r="D256" s="9" t="str">
        <x:v>пауза</x:v>
      </x:c>
      <x:c r="E256" s="9" t="str">
        <x:v>Учебная пауза и восстановление</x:v>
      </x:c>
      <x:c r="F256" s="9" t="str">
        <x:v>Новых учебных задач нет.</x:v>
      </x:c>
      <x:c r="G256" s="9" t="str">
        <x:v>Практика не назначена</x:v>
      </x:c>
      <x:c r="H256" s="9" t="str">
        <x:v>Не требуется</x:v>
      </x:c>
      <x:c r="I256" s="9" t="str">
        <x:v>Чтение не назначено</x:v>
      </x:c>
      <x:c r="J256" s="9" t="str">
        <x:v>Учебная пауза; допуск и практику сегодня не проверять.</x:v>
      </x:c>
      <x:c r="K256" s="9" t="str">
        <x:v>Учебного зачёта сегодня нет.</x:v>
      </x:c>
      <x:c r="L256" s="9" t="str">
        <x:v>Учебного артефакта нет</x:v>
      </x:c>
      <x:c r="M256" s="12"/>
      <x:c r="N256" s="12"/>
      <x:c r="O256" s="12"/>
      <x:c r="P256" s="14"/>
      <x:c r="Q256" s="9" t="str">
        <x:v>пауза</x:v>
      </x:c>
      <x:c r="R256" s="10"/>
      <x:c r="S256" s="10"/>
      <x:c r="T256" s="10"/>
    </x:row>
    <x:row r="257" ht="112" hidden="0" customHeight="1">
      <x:c r="A257" s="10" t="d">
        <x:v>2027-06-14T00:00:00.000Z</x:v>
      </x:c>
      <x:c r="B257" s="9" t="str">
        <x:v>пн</x:v>
      </x:c>
      <x:c r="C257" s="9" t="n">
        <x:v>42</x:v>
      </x:c>
      <x:c r="D257" s="9" t="str">
        <x:v>изучение</x:v>
      </x:c>
      <x:c r="E257" s="9" t="str">
        <x:v>Level1 Pwnage Linux x86_64 — шаг 1 из 6</x:v>
      </x:c>
      <x:c r="F257" s="9" t="str">
        <x:v>Изучить и проверить: x86-64 ABI и защиты; измеренная причина дефекта; воспроизводимость ограниченного результата.</x:v>
      </x:c>
      <x:c r="G257" s="9" t="str">
        <x:v>Открой Level1 Pwnage Linux x86_64. Зафиксируй выданную цель, условие, архитектуру, файлы и защиты. Выбери один проверяемый путь и критерий результата. При недоступности — локальная замена из карточки R165 в документе 12.
Локальная замена: Продолжай один ранее сохранённый собственный binary lab, для которого закрыты входные проверки. Подтверди причину дефекта, обычный и отрицательный контроль, повтор по README и границы результата. Продолжай один и тот же локальный пример по шагу текущего дня.</x:v>
      </x:c>
      <x:c r="H257" s="9" t="str">
        <x:v>Выданный sandbox или файл, GDB/pwndbg, readelf, Python</x:v>
      </x:c>
      <x:c r="I257" s="9" t="str">
        <x:v>RU04 METANIT Ассемблер GAS x86 64 — Стек функции и регистры
https://metanit.com/assembler/gas/
RU27 GNU Отладка с помощью GDB русский перевод — Стек память и состояние
https://www.opennet.ru/docs/RUS/gdb/
RU28 SPbCTF Сезон бинарной эксплуатации — Лекции по фактически обнаруженному механизму
https://www.youtube.com/playlist?list=PLLguubeCGWoY12PWrD-oV3nZg3sjJNKxm</x:v>
      </x:c>
      <x:c r="J257" s="9" t="str">
        <x:v>Закрыты входные проверки stack mitigation format leak ROP; объяснены границы памяти и ABI. Тип дефекта проверяется по самому таску.</x:v>
      </x:c>
      <x:c r="K257" s="9" t="str">
        <x:v>Что подтверждено собственным наблюдением, какой неверный контроль это ограничивает и смогу ли я повторить шаг без ИИ?</x:v>
      </x:c>
      <x:c r="L257" s="9" t="str">
        <x:v>2027-06-14_R165_note.md: вход, версия, наблюдение, контроль, подсказки и следующий шаг</x:v>
      </x:c>
      <x:c r="M257" s="12"/>
      <x:c r="N257" s="12"/>
      <x:c r="O257" s="12"/>
      <x:c r="P257" s="14"/>
      <x:c r="Q257" s="9" t="str">
        <x:v>R165 Level1 Pwnage Linux x86_64; шаг 1/6
https://ringzer0ctf.com/challenges/165</x:v>
      </x:c>
      <x:c r="R257" s="10" t="d">
        <x:v>2027-06-15T00:00:00.000Z</x:v>
      </x:c>
      <x:c r="S257" s="10" t="d">
        <x:v>2027-06-30T00:00:00.000Z</x:v>
      </x:c>
      <x:c r="T257" s="10" t="d">
        <x:v>2027-07-12T00:00:00.000Z</x:v>
      </x:c>
    </x:row>
    <x:row r="258" ht="112" hidden="0" customHeight="1">
      <x:c r="A258" s="10" t="d">
        <x:v>2027-06-15T00:00:00.000Z</x:v>
      </x:c>
      <x:c r="B258" s="9" t="str">
        <x:v>вт</x:v>
      </x:c>
      <x:c r="C258" s="9" t="n">
        <x:v>42</x:v>
      </x:c>
      <x:c r="D258" s="9" t="str">
        <x:v>изучение</x:v>
      </x:c>
      <x:c r="E258" s="9" t="str">
        <x:v>Level1 Pwnage Linux x86_64 — шаг 2 из 6</x:v>
      </x:c>
      <x:c r="F258" s="9" t="str">
        <x:v>Изучить и проверить: x86-64 ABI и защиты; измеренная причина дефекта; воспроизводимость ограниченного результата.</x:v>
      </x:c>
      <x:c r="G258" s="9" t="str">
        <x:v>Воспроизведи поведение на обычном и ошибочном входе задачи. Найди первое расхождение с ожидаемым договором, не называя любой crash готовым exploit. При недоступности — локальная замена из карточки R165 в документе 12.
Локальная замена: Продолжай один ранее сохранённый собственный binary lab, для которого закрыты входные проверки. Подтверди причину дефекта, обычный и отрицательный контроль, повтор по README и границы результата. Продолжай один и тот же локальный пример по шагу текущего дня.</x:v>
      </x:c>
      <x:c r="H258" s="9" t="str">
        <x:v>Выданный sandbox или файл, GDB/pwndbg, readelf, Python</x:v>
      </x:c>
      <x:c r="I258" s="9" t="str">
        <x:v>RU04 METANIT Ассемблер GAS x86 64 — Стек функции и регистры
https://metanit.com/assembler/gas/
RU27 GNU Отладка с помощью GDB русский перевод — Стек память и состояние
https://www.opennet.ru/docs/RUS/gdb/
RU28 SPbCTF Сезон бинарной эксплуатации — Лекции по фактически обнаруженному механизму
https://www.youtube.com/playlist?list=PLLguubeCGWoY12PWrD-oV3nZg3sjJNKxm</x:v>
      </x:c>
      <x:c r="J258" s="9" t="str">
        <x:v>Закрыты входные проверки stack mitigation format leak ROP; объяснены границы памяти и ABI. Тип дефекта проверяется по самому таску.</x:v>
      </x:c>
      <x:c r="K258" s="9" t="str">
        <x:v>Что подтверждено собственным наблюдением, какой неверный контроль это ограничивает и смогу ли я повторить шаг без ИИ?</x:v>
      </x:c>
      <x:c r="L258" s="9" t="str">
        <x:v>2027-06-15_R165_note.md: вход, версия, наблюдение, контроль, подсказки и следующий шаг</x:v>
      </x:c>
      <x:c r="M258" s="12"/>
      <x:c r="N258" s="12"/>
      <x:c r="O258" s="12"/>
      <x:c r="P258" s="14"/>
      <x:c r="Q258" s="9" t="str">
        <x:v>R165 Level1 Pwnage Linux x86_64; шаг 2/6
https://ringzer0ctf.com/challenges/165</x:v>
      </x:c>
      <x:c r="R258" s="10" t="d">
        <x:v>2027-06-16T00:00:00.000Z</x:v>
      </x:c>
      <x:c r="S258" s="10" t="d">
        <x:v>2027-06-30T00:00:00.000Z</x:v>
      </x:c>
      <x:c r="T258" s="10" t="d">
        <x:v>2027-07-13T00:00:00.000Z</x:v>
      </x:c>
    </x:row>
    <x:row r="259" ht="112" hidden="0" customHeight="1">
      <x:c r="A259" s="10" t="d">
        <x:v>2027-06-16T00:00:00.000Z</x:v>
      </x:c>
      <x:c r="B259" s="9" t="str">
        <x:v>ср</x:v>
      </x:c>
      <x:c r="C259" s="9" t="n">
        <x:v>42</x:v>
      </x:c>
      <x:c r="D259" s="9" t="str">
        <x:v>изучение</x:v>
      </x:c>
      <x:c r="E259" s="9" t="str">
        <x:v>Level1 Pwnage Linux x86_64 — шаг 3 из 6</x:v>
      </x:c>
      <x:c r="F259" s="9" t="str">
        <x:v>Изучить и проверить: x86-64 ABI и защиты; измеренная причина дефекта; воспроизводимость ограниченного результата.</x:v>
      </x:c>
      <x:c r="G259" s="9" t="str">
        <x:v>Подтверди одну предпосылку учебного перехода по фактическим данным. Сохрани версии, состояние и рабочую гипотезу. При недоступности — локальная замена из карточки R165 в документе 12.
Локальная замена: Продолжай один ранее сохранённый собственный binary lab, для которого закрыты входные проверки. Подтверди причину дефекта, обычный и отрицательный контроль, повтор по README и границы результата. Продолжай один и тот же локальный пример по шагу текущего дня.</x:v>
      </x:c>
      <x:c r="H259" s="9" t="str">
        <x:v>Выданный sandbox или файл, GDB/pwndbg, readelf, Python</x:v>
      </x:c>
      <x:c r="I259" s="9" t="str">
        <x:v>RU04 METANIT Ассемблер GAS x86 64 — Стек функции и регистры
https://metanit.com/assembler/gas/
RU27 GNU Отладка с помощью GDB русский перевод — Стек память и состояние
https://www.opennet.ru/docs/RUS/gdb/
RU28 SPbCTF Сезон бинарной эксплуатации — Лекции по фактически обнаруженному механизму
https://www.youtube.com/playlist?list=PLLguubeCGWoY12PWrD-oV3nZg3sjJNKxm</x:v>
      </x:c>
      <x:c r="J259" s="9" t="str">
        <x:v>Закрыты входные проверки stack mitigation format leak ROP; объяснены границы памяти и ABI. Тип дефекта проверяется по самому таску.</x:v>
      </x:c>
      <x:c r="K259" s="9" t="str">
        <x:v>Что подтверждено собственным наблюдением, какой неверный контроль это ограничивает и смогу ли я повторить шаг без ИИ?</x:v>
      </x:c>
      <x:c r="L259" s="9" t="str">
        <x:v>2027-06-16_R165_note.md: вход, версия, наблюдение, контроль, подсказки и следующий шаг</x:v>
      </x:c>
      <x:c r="M259" s="12"/>
      <x:c r="N259" s="12"/>
      <x:c r="O259" s="12"/>
      <x:c r="P259" s="14"/>
      <x:c r="Q259" s="9" t="str">
        <x:v>R165 Level1 Pwnage Linux x86_64; шаг 3/6
https://ringzer0ctf.com/challenges/165</x:v>
      </x:c>
      <x:c r="R259" s="10" t="d">
        <x:v>2027-06-17T00:00:00.000Z</x:v>
      </x:c>
      <x:c r="S259" s="10" t="d">
        <x:v>2027-06-30T00:00:00.000Z</x:v>
      </x:c>
      <x:c r="T259" s="10" t="d">
        <x:v>2027-07-14T00:00:00.000Z</x:v>
      </x:c>
    </x:row>
    <x:row r="260" ht="112" hidden="0" customHeight="1">
      <x:c r="A260" s="10" t="d">
        <x:v>2027-06-17T00:00:00.000Z</x:v>
      </x:c>
      <x:c r="B260" s="9" t="str">
        <x:v>чт</x:v>
      </x:c>
      <x:c r="C260" s="9" t="n">
        <x:v>42</x:v>
      </x:c>
      <x:c r="D260" s="9" t="str">
        <x:v>изучение</x:v>
      </x:c>
      <x:c r="E260" s="9" t="str">
        <x:v>Level1 Pwnage Linux x86_64 — шаг 4 из 6</x:v>
      </x:c>
      <x:c r="F260" s="9" t="str">
        <x:v>Изучить и проверить: x86-64 ABI и защиты; измеренная причина дефекта; воспроизводимость ограниченного результата.</x:v>
      </x:c>
      <x:c r="G260" s="9" t="str">
        <x:v>Доведи один разрешённый путь до предусмотренного результата задачи. Не добавляй новый механизм ради расширения охвата. При недоступности — локальная замена из карточки R165 в документе 12.
Локальная замена: Продолжай один ранее сохранённый собственный binary lab, для которого закрыты входные проверки. Подтверди причину дефекта, обычный и отрицательный контроль, повтор по README и границы результата. Продолжай один и тот же локальный пример по шагу текущего дня.</x:v>
      </x:c>
      <x:c r="H260" s="9" t="str">
        <x:v>Выданный sandbox или файл, GDB/pwndbg, readelf, Python</x:v>
      </x:c>
      <x:c r="I260" s="9" t="str">
        <x:v>RU04 METANIT Ассемблер GAS x86 64 — Стек функции и регистры
https://metanit.com/assembler/gas/
RU27 GNU Отладка с помощью GDB русский перевод — Стек память и состояние
https://www.opennet.ru/docs/RUS/gdb/
RU28 SPbCTF Сезон бинарной эксплуатации — Лекции по фактически обнаруженному механизму
https://www.youtube.com/playlist?list=PLLguubeCGWoY12PWrD-oV3nZg3sjJNKxm</x:v>
      </x:c>
      <x:c r="J260" s="9" t="str">
        <x:v>Закрыты входные проверки stack mitigation format leak ROP; объяснены границы памяти и ABI. Тип дефекта проверяется по самому таску.</x:v>
      </x:c>
      <x:c r="K260" s="9" t="str">
        <x:v>Что подтверждено собственным наблюдением, какой неверный контроль это ограничивает и смогу ли я повторить шаг без ИИ?</x:v>
      </x:c>
      <x:c r="L260" s="9" t="str">
        <x:v>2027-06-17_R165_note.md: вход, версия, наблюдение, контроль, подсказки и следующий шаг</x:v>
      </x:c>
      <x:c r="M260" s="12"/>
      <x:c r="N260" s="12"/>
      <x:c r="O260" s="12"/>
      <x:c r="P260" s="14"/>
      <x:c r="Q260" s="9" t="str">
        <x:v>R165 Level1 Pwnage Linux x86_64; шаг 4/6
https://ringzer0ctf.com/challenges/165</x:v>
      </x:c>
      <x:c r="R260" s="10" t="d">
        <x:v>2027-06-18T00:00:00.000Z</x:v>
      </x:c>
      <x:c r="S260" s="10" t="d">
        <x:v>2027-06-30T00:00:00.000Z</x:v>
      </x:c>
      <x:c r="T260" s="10" t="d">
        <x:v>2027-07-15T00:00:00.000Z</x:v>
      </x:c>
    </x:row>
    <x:row r="261" ht="112" hidden="0" customHeight="1">
      <x:c r="A261" s="10" t="d">
        <x:v>2027-06-18T00:00:00.000Z</x:v>
      </x:c>
      <x:c r="B261" s="9" t="str">
        <x:v>пт</x:v>
      </x:c>
      <x:c r="C261" s="9" t="n">
        <x:v>42</x:v>
      </x:c>
      <x:c r="D261" s="9" t="str">
        <x:v>изучение</x:v>
      </x:c>
      <x:c r="E261" s="9" t="str">
        <x:v>Level1 Pwnage Linux x86_64 — шаг 5 из 6</x:v>
      </x:c>
      <x:c r="F261" s="9" t="str">
        <x:v>Изучить и проверить: x86-64 ABI и защиты; измеренная причина дефекта; воспроизводимость ограниченного результата.</x:v>
      </x:c>
      <x:c r="G261" s="9" t="str">
        <x:v>Повтори ключевой результат в новом доступном экземпляре или исходном состоянии. Сохрани отрицательный контроль и объясни зависимость от среды. При недоступности — локальная замена из карточки R165 в документе 12.
Локальная замена: Продолжай один ранее сохранённый собственный binary lab, для которого закрыты входные проверки. Подтверди причину дефекта, обычный и отрицательный контроль, повтор по README и границы результата. Продолжай один и тот же локальный пример по шагу текущего дня.</x:v>
      </x:c>
      <x:c r="H261" s="9" t="str">
        <x:v>Выданный sandbox или файл, GDB/pwndbg, readelf, Python</x:v>
      </x:c>
      <x:c r="I261" s="9" t="str">
        <x:v>RU04 METANIT Ассемблер GAS x86 64 — Стек функции и регистры
https://metanit.com/assembler/gas/
RU27 GNU Отладка с помощью GDB русский перевод — Стек память и состояние
https://www.opennet.ru/docs/RUS/gdb/
RU28 SPbCTF Сезон бинарной эксплуатации — Лекции по фактически обнаруженному механизму
https://www.youtube.com/playlist?list=PLLguubeCGWoY12PWrD-oV3nZg3sjJNKxm</x:v>
      </x:c>
      <x:c r="J261" s="9" t="str">
        <x:v>Закрыты входные проверки stack mitigation format leak ROP; объяснены границы памяти и ABI. Тип дефекта проверяется по самому таску.</x:v>
      </x:c>
      <x:c r="K261" s="9" t="str">
        <x:v>Что подтверждено собственным наблюдением, какой неверный контроль это ограничивает и смогу ли я повторить шаг без ИИ?</x:v>
      </x:c>
      <x:c r="L261" s="9" t="str">
        <x:v>2027-06-18_R165_note.md: вход, версия, наблюдение, контроль, подсказки и следующий шаг</x:v>
      </x:c>
      <x:c r="M261" s="12"/>
      <x:c r="N261" s="12"/>
      <x:c r="O261" s="12"/>
      <x:c r="P261" s="14"/>
      <x:c r="Q261" s="9" t="str">
        <x:v>R165 Level1 Pwnage Linux x86_64; шаг 5/6
https://ringzer0ctf.com/challenges/165</x:v>
      </x:c>
      <x:c r="R261" s="10" t="d">
        <x:v>2027-06-19T00:00:00.000Z</x:v>
      </x:c>
      <x:c r="S261" s="10" t="d">
        <x:v>2027-06-30T00:00:00.000Z</x:v>
      </x:c>
      <x:c r="T261" s="10" t="d">
        <x:v>2027-07-16T00:00:00.000Z</x:v>
      </x:c>
    </x:row>
    <x:row r="262" ht="112" hidden="0" customHeight="1">
      <x:c r="A262" s="10" t="d">
        <x:v>2027-06-19T00:00:00.000Z</x:v>
      </x:c>
      <x:c r="B262" s="9" t="str">
        <x:v>сб</x:v>
      </x:c>
      <x:c r="C262" s="9" t="n">
        <x:v>42</x:v>
      </x:c>
      <x:c r="D262" s="9" t="str">
        <x:v>повторение</x:v>
      </x:c>
      <x:c r="E262" s="9" t="str">
        <x:v>Level1 Pwnage Linux x86_64 — шаг 6 из 6</x:v>
      </x:c>
      <x:c r="F262" s="9" t="str">
        <x:v>Повторить и применить: x86-64 ABI и защиты; измеренная причина дефекта; воспроизводимость ограниченного результата.</x:v>
      </x:c>
      <x:c r="G262" s="9" t="str">
        <x:v>Закрой таск либо оформи конкретное препятствие. Сохрани локальный handoff, доказательства и первый шаг возврата после спортивной паузы; новых задач на пик не добавляй. При недоступности — локальная замена из карточки R165 в документе 12.
Локальная замена: Продолжай один ранее сохранённый собственный binary lab, для которого закрыты входные проверки. Подтверди причину дефекта, обычный и отрицательный контроль, повтор по README и границы результата. Продолжай один и тот же локальный пример по шагу текущего дня.</x:v>
      </x:c>
      <x:c r="H262" s="9" t="str">
        <x:v>Выданный sandbox или файл, GDB/pwndbg, readelf, Python</x:v>
      </x:c>
      <x:c r="I262" s="9" t="str">
        <x:v>RU04 METANIT Ассемблер GAS x86 64 — Стек функции и регистры
https://metanit.com/assembler/gas/
RU27 GNU Отладка с помощью GDB русский перевод — Стек память и состояние
https://www.opennet.ru/docs/RUS/gdb/
RU28 SPbCTF Сезон бинарной эксплуатации — Лекции по фактически обнаруженному механизму
https://www.youtube.com/playlist?list=PLLguubeCGWoY12PWrD-oV3nZg3sjJNKxm</x:v>
      </x:c>
      <x:c r="J262" s="9" t="str">
        <x:v>Закрыты входные проверки stack mitigation format leak ROP; объяснены границы памяти и ABI. Тип дефекта проверяется по самому таску.</x:v>
      </x:c>
      <x:c r="K262" s="9" t="str">
        <x:v>Что подтверждено собственным наблюдением, какой неверный контроль это ограничивает и смогу ли я повторить шаг без ИИ?</x:v>
      </x:c>
      <x:c r="L262" s="9" t="str">
        <x:v>2027-06-19_R165_note.md: вход, версия, наблюдение, контроль, подсказки и следующий шаг</x:v>
      </x:c>
      <x:c r="M262" s="12"/>
      <x:c r="N262" s="12"/>
      <x:c r="O262" s="12"/>
      <x:c r="P262" s="14"/>
      <x:c r="Q262" s="9" t="str">
        <x:v>R165 Level1 Pwnage Linux x86_64; шаг 6/6
https://ringzer0ctf.com/challenges/165</x:v>
      </x:c>
      <x:c r="R262" s="10" t="d">
        <x:v>2027-06-20T00:00:00.000Z</x:v>
      </x:c>
      <x:c r="S262" s="10" t="d">
        <x:v>2027-06-30T00:00:00.000Z</x:v>
      </x:c>
      <x:c r="T262" s="10" t="d">
        <x:v>2027-07-17T00:00:00.000Z</x:v>
      </x:c>
    </x:row>
    <x:row r="263" ht="28" hidden="0" customHeight="1">
      <x:c r="A263" s="10" t="d">
        <x:v>2027-06-20T00:00:00.000Z</x:v>
      </x:c>
      <x:c r="B263" s="9" t="str">
        <x:v>вс</x:v>
      </x:c>
      <x:c r="C263" s="9" t="n">
        <x:v>42</x:v>
      </x:c>
      <x:c r="D263" s="9" t="str">
        <x:v>повторение</x:v>
      </x:c>
      <x:c r="E263" s="9" t="str">
        <x:v>Повторение Handoff проекта перед спортивной репетицией</x:v>
      </x:c>
      <x:c r="F263" s="9" t="str">
        <x:v>Вспомнить Сохранённые входы и объяснить один отрицательный контроль по готовой заметке.</x:v>
      </x:c>
      <x:c r="G263" s="9" t="str">
        <x:v>Сверить ответ с собственной записью. Новую лабораторию не открывать.</x:v>
      </x:c>
      <x:c r="H263" s="9" t="str">
        <x:v>Свои ранее подготовленные lab-файлы</x:v>
      </x:c>
      <x:c r="I263" s="9" t="str">
        <x:v>Своя готовая заметка по теме; нового чтения нет</x:v>
      </x:c>
      <x:c r="J263" s="9" t="str">
        <x:v>отладка и фаззинг либо PE по формату: повторяемый опыт; официальный advisory и контекст исправления доступны.</x:v>
      </x:c>
      <x:c r="K263" s="9" t="str">
        <x:v>Какой факт недели лучше всего подтверждает освоенный механизм?</x:v>
      </x:c>
      <x:c r="L263" s="9" t="str">
        <x:v>Карточка памяти по готовой заметке</x:v>
      </x:c>
      <x:c r="M263" s="12"/>
      <x:c r="N263" s="12"/>
      <x:c r="O263" s="12"/>
      <x:c r="P263" s="14"/>
      <x:c r="Q263" s="9" t="str">
        <x:v>своя заметка</x:v>
      </x:c>
      <x:c r="R263" s="10" t="d">
        <x:v>2027-06-30T00:00:00.000Z</x:v>
      </x:c>
      <x:c r="S263" s="10" t="d">
        <x:v>2027-06-30T00:00:00.000Z</x:v>
      </x:c>
      <x:c r="T263" s="10" t="d">
        <x:v>2027-07-18T00:00:00.000Z</x:v>
      </x:c>
    </x:row>
    <x:row r="264" ht="28" hidden="0" customHeight="1">
      <x:c r="A264" s="10" t="d">
        <x:v>2027-06-21T00:00:00.000Z</x:v>
      </x:c>
      <x:c r="B264" s="9" t="str">
        <x:v>пн</x:v>
      </x:c>
      <x:c r="C264" s="9" t="n">
        <x:v>43</x:v>
      </x:c>
      <x:c r="D264" s="9" t="str">
        <x:v>повторение</x:v>
      </x:c>
      <x:c r="E264" s="9" t="str">
        <x:v>Повтор одного механизма по готовой заметке</x:v>
      </x:c>
      <x:c r="F264" s="9" t="str">
        <x:v>Повторить: Выбранный механизм недели; его вход; предусловие и граница вывода без нового чтения.</x:v>
      </x:c>
      <x:c r="G264" s="9" t="str">
        <x:v>Если короткий блок назначен, прочитай один готовый вывод и назови его предпосылки. Новую lab не открывай.</x:v>
      </x:c>
      <x:c r="H264" s="9" t="str">
        <x:v>Только готовые заметки и ссылки</x:v>
      </x:c>
      <x:c r="I264" s="9" t="str">
        <x:v>Своя готовая заметка по теме; нового чтения нет</x:v>
      </x:c>
      <x:c r="J264" s="9" t="str">
        <x:v>Подтверждён предыдущий механизм; действуют условия темы и разрешённой лаборатории.</x:v>
      </x:c>
      <x:c r="K264" s="9" t="str">
        <x:v>Какое условие ограничивало старый результат?</x:v>
      </x:c>
      <x:c r="L264" s="9" t="str">
        <x:v>2027-06-21_note.md: вход, ожидание, факт, вывод, контроль</x:v>
      </x:c>
      <x:c r="M264" s="12"/>
      <x:c r="N264" s="12"/>
      <x:c r="O264" s="12"/>
      <x:c r="P264" s="14"/>
      <x:c r="Q264" s="9" t="str">
        <x:v>своя заметка</x:v>
      </x:c>
      <x:c r="R264" s="10" t="d">
        <x:v>2027-06-30T00:00:00.000Z</x:v>
      </x:c>
      <x:c r="S264" s="10" t="d">
        <x:v>2027-06-30T00:00:00.000Z</x:v>
      </x:c>
      <x:c r="T264" s="10" t="d">
        <x:v>2027-07-19T00:00:00.000Z</x:v>
      </x:c>
    </x:row>
    <x:row r="265" ht="28" hidden="0" customHeight="1">
      <x:c r="A265" s="10" t="d">
        <x:v>2027-06-22T00:00:00.000Z</x:v>
      </x:c>
      <x:c r="B265" s="9" t="str">
        <x:v>вт</x:v>
      </x:c>
      <x:c r="C265" s="9" t="n">
        <x:v>43</x:v>
      </x:c>
      <x:c r="D265" s="9" t="str">
        <x:v>повторение</x:v>
      </x:c>
      <x:c r="E265" s="9" t="str">
        <x:v>Извлечение освоенных знаний по трём вопросам</x:v>
      </x:c>
      <x:c r="F265" s="9" t="str">
        <x:v>Повторить: Из своей заметки: что делает механизм, при каком условии, какой контроль его подтверждает.</x:v>
      </x:c>
      <x:c r="G265" s="9" t="str">
        <x:v>Ответь на три старых вопроса без источника и сверь ответы. Запиши только один пробел.</x:v>
      </x:c>
      <x:c r="H265" s="9" t="str">
        <x:v>Только готовые заметки и ссылки</x:v>
      </x:c>
      <x:c r="I265" s="9" t="str">
        <x:v>Своя готовая заметка по теме; нового чтения нет</x:v>
      </x:c>
      <x:c r="J265" s="9" t="str">
        <x:v>Подтверждён предыдущий механизм; действуют условия темы и разрешённой лаборатории.</x:v>
      </x:c>
      <x:c r="K265" s="9" t="str">
        <x:v>Какая ошибка относится к пониманию, а не к забытой команде?</x:v>
      </x:c>
      <x:c r="L265" s="9" t="str">
        <x:v>2027-06-22_note.md: вход, ожидание, факт, вывод, контроль</x:v>
      </x:c>
      <x:c r="M265" s="12"/>
      <x:c r="N265" s="12"/>
      <x:c r="O265" s="12"/>
      <x:c r="P265" s="14"/>
      <x:c r="Q265" s="9" t="str">
        <x:v>своя заметка</x:v>
      </x:c>
      <x:c r="R265" s="10" t="d">
        <x:v>2027-06-30T00:00:00.000Z</x:v>
      </x:c>
      <x:c r="S265" s="10" t="d">
        <x:v>2027-06-30T00:00:00.000Z</x:v>
      </x:c>
      <x:c r="T265" s="10" t="d">
        <x:v>2027-07-20T00:00:00.000Z</x:v>
      </x:c>
    </x:row>
    <x:row r="266" ht="28" hidden="0" customHeight="1">
      <x:c r="A266" s="10" t="d">
        <x:v>2027-06-23T00:00:00.000Z</x:v>
      </x:c>
      <x:c r="B266" s="9" t="str">
        <x:v>ср</x:v>
      </x:c>
      <x:c r="C266" s="9" t="n">
        <x:v>43</x:v>
      </x:c>
      <x:c r="D266" s="9" t="str">
        <x:v>повторение</x:v>
      </x:c>
      <x:c r="E266" s="9" t="str">
        <x:v>Доступность ссылок на готовые артефакты</x:v>
      </x:c>
      <x:c r="F266" s="9" t="str">
        <x:v>Повторить: Путь к файлу; ссылка из отчёта; версия результата; восстановление записи без повторной lab.</x:v>
      </x:c>
      <x:c r="G266" s="9" t="str">
        <x:v>Проверь пути к двум уже готовым artifacts и README. Исправь ссылки, закрой редактор.</x:v>
      </x:c>
      <x:c r="H266" s="9" t="str">
        <x:v>Только готовые заметки и ссылки</x:v>
      </x:c>
      <x:c r="I266" s="9" t="str">
        <x:v>Своя готовая заметка по теме; нового чтения нет</x:v>
      </x:c>
      <x:c r="J266" s="9" t="str">
        <x:v>Подтверждён предыдущий механизм; действуют условия темы и разрешённой лаборатории.</x:v>
      </x:c>
      <x:c r="K266" s="9" t="str">
        <x:v>Можно ли открыть сохранённый вход и его описание?</x:v>
      </x:c>
      <x:c r="L266" s="9" t="str">
        <x:v>2027-06-23_note.md: вход, ожидание, факт, вывод, контроль</x:v>
      </x:c>
      <x:c r="M266" s="12"/>
      <x:c r="N266" s="12"/>
      <x:c r="O266" s="12"/>
      <x:c r="P266" s="14"/>
      <x:c r="Q266" s="9" t="str">
        <x:v>своя заметка</x:v>
      </x:c>
      <x:c r="R266" s="10" t="d">
        <x:v>2027-06-30T00:00:00.000Z</x:v>
      </x:c>
      <x:c r="S266" s="10" t="d">
        <x:v>2027-06-30T00:00:00.000Z</x:v>
      </x:c>
      <x:c r="T266" s="10" t="d">
        <x:v>2027-07-21T00:00:00.000Z</x:v>
      </x:c>
    </x:row>
    <x:row r="267" ht="28" hidden="0" customHeight="1">
      <x:c r="A267" s="10" t="d">
        <x:v>2027-06-24T00:00:00.000Z</x:v>
      </x:c>
      <x:c r="B267" s="9" t="str">
        <x:v>чт</x:v>
      </x:c>
      <x:c r="C267" s="9" t="n">
        <x:v>43</x:v>
      </x:c>
      <x:c r="D267" s="9" t="str">
        <x:v>повторение</x:v>
      </x:c>
      <x:c r="E267" s="9" t="str">
        <x:v>Один шаг возвращения после восстановления</x:v>
      </x:c>
      <x:c r="F267" s="9" t="str">
        <x:v>Повторить: Сохранённое состояние; минимальный следующий шаг; критерий его завершения по прежнему handoff.</x:v>
      </x:c>
      <x:c r="G267" s="9" t="str">
        <x:v>Запиши один первый шаг на неделю 44 и критерий отмены при усталости. Не выполняй его сегодня.</x:v>
      </x:c>
      <x:c r="H267" s="9" t="str">
        <x:v>Только готовые заметки и ссылки</x:v>
      </x:c>
      <x:c r="I267" s="9" t="str">
        <x:v>Своя готовая заметка по теме; нового чтения нет</x:v>
      </x:c>
      <x:c r="J267" s="9" t="str">
        <x:v>Подтверждён предыдущий механизм; действуют условия темы и разрешённой лаборатории.</x:v>
      </x:c>
      <x:c r="K267" s="9" t="str">
        <x:v>Какой минимальный шаг позволит продолжить без перегруза?</x:v>
      </x:c>
      <x:c r="L267" s="9" t="str">
        <x:v>Карточка памяти по готовой заметке</x:v>
      </x:c>
      <x:c r="M267" s="12"/>
      <x:c r="N267" s="12"/>
      <x:c r="O267" s="12"/>
      <x:c r="P267" s="14"/>
      <x:c r="Q267" s="9" t="str">
        <x:v>своя заметка</x:v>
      </x:c>
      <x:c r="R267" s="10" t="d">
        <x:v>2027-06-30T00:00:00.000Z</x:v>
      </x:c>
      <x:c r="S267" s="10" t="d">
        <x:v>2027-07-01T00:00:00.000Z</x:v>
      </x:c>
      <x:c r="T267" s="10" t="d">
        <x:v>2027-07-22T00:00:00.000Z</x:v>
      </x:c>
    </x:row>
    <x:row r="268" ht="28" hidden="0" customHeight="1">
      <x:c r="A268" s="10" t="d">
        <x:v>2027-06-25T00:00:00.000Z</x:v>
      </x:c>
      <x:c r="B268" s="9" t="str">
        <x:v>пт</x:v>
      </x:c>
      <x:c r="C268" s="9" t="n">
        <x:v>43</x:v>
      </x:c>
      <x:c r="D268" s="9" t="str">
        <x:v>повторение</x:v>
      </x:c>
      <x:c r="E268" s="9" t="str">
        <x:v>Сохранение незавершённых записей и backlog</x:v>
      </x:c>
      <x:c r="F268" s="9" t="str">
        <x:v>Повторить: Текущий результат; первый незавершённый шаг; новые гипотезы как отложенные записи.</x:v>
      </x:c>
      <x:c r="G268" s="9" t="str">
        <x:v>Сведи оставшиеся ссылки и следующий шаг в одну заметку. Останови лабораторные процессы и отдыхай.</x:v>
      </x:c>
      <x:c r="H268" s="9" t="str">
        <x:v>Только готовые заметки и ссылки</x:v>
      </x:c>
      <x:c r="I268" s="9" t="str">
        <x:v>Своя готовая заметка по теме; нового чтения нет</x:v>
      </x:c>
      <x:c r="J268" s="9" t="str">
        <x:v>Подтверждён предыдущий механизм; действуют условия темы и разрешённой лаборатории.</x:v>
      </x:c>
      <x:c r="K268" s="9" t="str">
        <x:v>Что осталось в backlog до восстановления?</x:v>
      </x:c>
      <x:c r="L268" s="9" t="str">
        <x:v>Карточка памяти по готовой заметке</x:v>
      </x:c>
      <x:c r="M268" s="12"/>
      <x:c r="N268" s="12"/>
      <x:c r="O268" s="12"/>
      <x:c r="P268" s="14"/>
      <x:c r="Q268" s="9" t="str">
        <x:v>своя заметка</x:v>
      </x:c>
      <x:c r="R268" s="10" t="d">
        <x:v>2027-06-30T00:00:00.000Z</x:v>
      </x:c>
      <x:c r="S268" s="10" t="d">
        <x:v>2027-07-02T00:00:00.000Z</x:v>
      </x:c>
      <x:c r="T268" s="10" t="d">
        <x:v>2027-07-23T00:00:00.000Z</x:v>
      </x:c>
    </x:row>
    <x:row r="269" ht="19" hidden="0" customHeight="1">
      <x:c r="A269" s="10" t="d">
        <x:v>2027-06-26T00:00:00.000Z</x:v>
      </x:c>
      <x:c r="B269" s="9" t="str">
        <x:v>сб</x:v>
      </x:c>
      <x:c r="C269" s="9" t="n">
        <x:v>43</x:v>
      </x:c>
      <x:c r="D269" s="9" t="str">
        <x:v>пауза</x:v>
      </x:c>
      <x:c r="E269" s="9" t="str">
        <x:v>Учебная пауза и восстановление</x:v>
      </x:c>
      <x:c r="F269" s="9" t="str">
        <x:v>Новых учебных задач нет.</x:v>
      </x:c>
      <x:c r="G269" s="9" t="str">
        <x:v>Практика не назначена</x:v>
      </x:c>
      <x:c r="H269" s="9" t="str">
        <x:v>Не требуется</x:v>
      </x:c>
      <x:c r="I269" s="9" t="str">
        <x:v>Чтение не назначено</x:v>
      </x:c>
      <x:c r="J269" s="9" t="str">
        <x:v>Учебная пауза; допуск и практику сегодня не проверять.</x:v>
      </x:c>
      <x:c r="K269" s="9" t="str">
        <x:v>Учебного зачёта сегодня нет.</x:v>
      </x:c>
      <x:c r="L269" s="9" t="str">
        <x:v>Учебного артефакта нет</x:v>
      </x:c>
      <x:c r="M269" s="12"/>
      <x:c r="N269" s="12"/>
      <x:c r="O269" s="12"/>
      <x:c r="P269" s="14"/>
      <x:c r="Q269" s="9" t="str">
        <x:v>пауза</x:v>
      </x:c>
      <x:c r="R269" s="10"/>
      <x:c r="S269" s="10"/>
      <x:c r="T269" s="10"/>
    </x:row>
    <x:row r="270" ht="19" hidden="0" customHeight="1">
      <x:c r="A270" s="10" t="d">
        <x:v>2027-06-27T00:00:00.000Z</x:v>
      </x:c>
      <x:c r="B270" s="9" t="str">
        <x:v>вс</x:v>
      </x:c>
      <x:c r="C270" s="9" t="n">
        <x:v>43</x:v>
      </x:c>
      <x:c r="D270" s="9" t="str">
        <x:v>пауза</x:v>
      </x:c>
      <x:c r="E270" s="9" t="str">
        <x:v>Учебная пауза и восстановление</x:v>
      </x:c>
      <x:c r="F270" s="9" t="str">
        <x:v>Новых учебных задач нет.</x:v>
      </x:c>
      <x:c r="G270" s="9" t="str">
        <x:v>Практика не назначена</x:v>
      </x:c>
      <x:c r="H270" s="9" t="str">
        <x:v>Не требуется</x:v>
      </x:c>
      <x:c r="I270" s="9" t="str">
        <x:v>Чтение не назначено</x:v>
      </x:c>
      <x:c r="J270" s="9" t="str">
        <x:v>Учебная пауза; допуск и практику сегодня не проверять.</x:v>
      </x:c>
      <x:c r="K270" s="9" t="str">
        <x:v>Учебного зачёта сегодня нет.</x:v>
      </x:c>
      <x:c r="L270" s="9" t="str">
        <x:v>Учебного артефакта нет</x:v>
      </x:c>
      <x:c r="M270" s="12"/>
      <x:c r="N270" s="12"/>
      <x:c r="O270" s="12"/>
      <x:c r="P270" s="14"/>
      <x:c r="Q270" s="9" t="str">
        <x:v>пауза</x:v>
      </x:c>
      <x:c r="R270" s="10"/>
      <x:c r="S270" s="10"/>
      <x:c r="T270" s="10"/>
    </x:row>
    <x:row r="271" ht="19" hidden="0" customHeight="1">
      <x:c r="A271" s="10" t="d">
        <x:v>2027-06-28T00:00:00.000Z</x:v>
      </x:c>
      <x:c r="B271" s="9" t="str">
        <x:v>пн</x:v>
      </x:c>
      <x:c r="C271" s="9" t="n">
        <x:v>44</x:v>
      </x:c>
      <x:c r="D271" s="9" t="str">
        <x:v>пауза</x:v>
      </x:c>
      <x:c r="E271" s="9" t="str">
        <x:v>Учебная пауза и восстановление</x:v>
      </x:c>
      <x:c r="F271" s="9" t="str">
        <x:v>Новых учебных задач нет.</x:v>
      </x:c>
      <x:c r="G271" s="9" t="str">
        <x:v>Практика не назначена</x:v>
      </x:c>
      <x:c r="H271" s="9" t="str">
        <x:v>Не требуется</x:v>
      </x:c>
      <x:c r="I271" s="9" t="str">
        <x:v>Чтение не назначено</x:v>
      </x:c>
      <x:c r="J271" s="9" t="str">
        <x:v>Учебная пауза; допуск и практику сегодня не проверять.</x:v>
      </x:c>
      <x:c r="K271" s="9" t="str">
        <x:v>Учебного зачёта сегодня нет.</x:v>
      </x:c>
      <x:c r="L271" s="9" t="str">
        <x:v>Учебного артефакта нет</x:v>
      </x:c>
      <x:c r="M271" s="12"/>
      <x:c r="N271" s="12"/>
      <x:c r="O271" s="12"/>
      <x:c r="P271" s="14"/>
      <x:c r="Q271" s="9" t="str">
        <x:v>пауза</x:v>
      </x:c>
      <x:c r="R271" s="10"/>
      <x:c r="S271" s="10"/>
      <x:c r="T271" s="10"/>
    </x:row>
    <x:row r="272" ht="19" hidden="0" customHeight="1">
      <x:c r="A272" s="10" t="d">
        <x:v>2027-06-29T00:00:00.000Z</x:v>
      </x:c>
      <x:c r="B272" s="9" t="str">
        <x:v>вт</x:v>
      </x:c>
      <x:c r="C272" s="9" t="n">
        <x:v>44</x:v>
      </x:c>
      <x:c r="D272" s="9" t="str">
        <x:v>пауза</x:v>
      </x:c>
      <x:c r="E272" s="9" t="str">
        <x:v>Учебная пауза и восстановление</x:v>
      </x:c>
      <x:c r="F272" s="9" t="str">
        <x:v>Новых учебных задач нет.</x:v>
      </x:c>
      <x:c r="G272" s="9" t="str">
        <x:v>Практика не назначена</x:v>
      </x:c>
      <x:c r="H272" s="9" t="str">
        <x:v>Не требуется</x:v>
      </x:c>
      <x:c r="I272" s="9" t="str">
        <x:v>Чтение не назначено</x:v>
      </x:c>
      <x:c r="J272" s="9" t="str">
        <x:v>Учебная пауза; допуск и практику сегодня не проверять.</x:v>
      </x:c>
      <x:c r="K272" s="9" t="str">
        <x:v>Учебного зачёта сегодня нет.</x:v>
      </x:c>
      <x:c r="L272" s="9" t="str">
        <x:v>Учебного артефакта нет</x:v>
      </x:c>
      <x:c r="M272" s="12"/>
      <x:c r="N272" s="12"/>
      <x:c r="O272" s="12"/>
      <x:c r="P272" s="14"/>
      <x:c r="Q272" s="9" t="str">
        <x:v>пауза</x:v>
      </x:c>
      <x:c r="R272" s="10"/>
      <x:c r="S272" s="10"/>
      <x:c r="T272" s="10"/>
    </x:row>
    <x:row r="273" ht="88" hidden="0" customHeight="1">
      <x:c r="A273" s="10" t="d">
        <x:v>2027-06-30T00:00:00.000Z</x:v>
      </x:c>
      <x:c r="B273" s="9" t="str">
        <x:v>ср</x:v>
      </x:c>
      <x:c r="C273" s="9" t="n">
        <x:v>44</x:v>
      </x:c>
      <x:c r="D273" s="9" t="str">
        <x:v>изучение</x:v>
      </x:c>
      <x:c r="E273" s="9" t="str">
        <x:v>Возвращение к одному сохранённому доказательству</x:v>
      </x:c>
      <x:c r="F273" s="9" t="str">
        <x:v>Разобрать: Snapshot из handoff; прежний вход; критерий результата; минимальный следующий шаг.</x:v>
      </x:c>
      <x:c r="G273" s="9" t="str">
        <x:v>Открой прежний snapshot и повтори один минимальный шаг своего capstone. Остановись по лимиту времени.</x:v>
      </x:c>
      <x:c r="H273" s="9" t="str">
        <x:v>Свой snapshot и regression case</x:v>
      </x:c>
      <x:c r="I273" s="9" t="str">
        <x:v>RU25 Скотт Чакон Бен Штрауб Pro Git — Глава 2: просмотр изменений и истории
https://git-scm.com/book/ru/v2
RU36 Securelist Разбор CVE 2023 23397 — Раздел об исправлении и пределах вывода
https://securelist.ru/analysis-of-attack-samples-exploiting-cve-2023-23397/107696/</x:v>
      </x:c>
      <x:c r="J273" s="9" t="str">
        <x:v>Один закрытый учебный механизм stack, format, ROP или heap, собственный snapshot и README. Практика возвращается только после учебной паузы и восстановления.</x:v>
      </x:c>
      <x:c r="K273" s="9" t="str">
        <x:v>Совпало ли состояние с handoff перед продолжением?</x:v>
      </x:c>
      <x:c r="L273" s="9" t="str">
        <x:v>2027-06-30_note.md: вход, ожидание, факт, вывод, контроль</x:v>
      </x:c>
      <x:c r="M273" s="12"/>
      <x:c r="N273" s="12"/>
      <x:c r="O273" s="12"/>
      <x:c r="P273" s="14"/>
      <x:c r="Q273" s="9" t="str">
        <x:v>RU25 RU36</x:v>
      </x:c>
      <x:c r="R273" s="10" t="d">
        <x:v>2027-07-01T00:00:00.000Z</x:v>
      </x:c>
      <x:c r="S273" s="10" t="d">
        <x:v>2027-07-07T00:00:00.000Z</x:v>
      </x:c>
      <x:c r="T273" s="10" t="d">
        <x:v>2027-07-28T00:00:00.000Z</x:v>
      </x:c>
    </x:row>
    <x:row r="274" ht="88" hidden="0" customHeight="1">
      <x:c r="A274" s="10" t="d">
        <x:v>2027-07-01T00:00:00.000Z</x:v>
      </x:c>
      <x:c r="B274" s="9" t="str">
        <x:v>чт</x:v>
      </x:c>
      <x:c r="C274" s="9" t="n">
        <x:v>44</x:v>
      </x:c>
      <x:c r="D274" s="9" t="str">
        <x:v>изучение</x:v>
      </x:c>
      <x:c r="E274" s="9" t="str">
        <x:v>Повтор готового regression case после паузы</x:v>
      </x:c>
      <x:c r="F274" s="9" t="str">
        <x:v>Разобрать: Прежний договор ввода; ошибочный случай; обычный контроль; ожидаемое состояние.</x:v>
      </x:c>
      <x:c r="G274" s="9" t="str">
        <x:v>Повтори уже готовый regression test собственной исправленной программы. Запиши version, вход и результат.</x:v>
      </x:c>
      <x:c r="H274" s="9" t="str">
        <x:v>Свой snapshot и regression case</x:v>
      </x:c>
      <x:c r="I274" s="9" t="str">
        <x:v>RU25 Скотт Чакон Бен Штрауб Pro Git — Глава 2: просмотр изменений и истории
https://git-scm.com/book/ru/v2
RU36 Securelist Разбор CVE 2023 23397 — Раздел об исправлении и пределах вывода
https://securelist.ru/analysis-of-attack-samples-exploiting-cve-2023-23397/107696/</x:v>
      </x:c>
      <x:c r="J274" s="9" t="str">
        <x:v>Один закрытый модуль предыдущий механизм–фаззинг, свой snapshot и README. Практика возвращается только после учебной паузы и восстановления.</x:v>
      </x:c>
      <x:c r="K274" s="9" t="str">
        <x:v>Сохранилось ли ожидаемое поведение после паузы?</x:v>
      </x:c>
      <x:c r="L274" s="9" t="str">
        <x:v>2027-07-01_note.md: вход, ожидание, факт, вывод, контроль</x:v>
      </x:c>
      <x:c r="M274" s="12"/>
      <x:c r="N274" s="12"/>
      <x:c r="O274" s="12"/>
      <x:c r="P274" s="14"/>
      <x:c r="Q274" s="9" t="str">
        <x:v>RU25 RU36</x:v>
      </x:c>
      <x:c r="R274" s="10" t="d">
        <x:v>2027-07-02T00:00:00.000Z</x:v>
      </x:c>
      <x:c r="S274" s="10" t="d">
        <x:v>2027-07-08T00:00:00.000Z</x:v>
      </x:c>
      <x:c r="T274" s="10" t="d">
        <x:v>2027-07-29T00:00:00.000Z</x:v>
      </x:c>
    </x:row>
    <x:row r="275" ht="88" hidden="0" customHeight="1">
      <x:c r="A275" s="10" t="d">
        <x:v>2027-07-02T00:00:00.000Z</x:v>
      </x:c>
      <x:c r="B275" s="9" t="str">
        <x:v>пт</x:v>
      </x:c>
      <x:c r="C275" s="9" t="n">
        <x:v>44</x:v>
      </x:c>
      <x:c r="D275" s="9" t="str">
        <x:v>изучение</x:v>
      </x:c>
      <x:c r="E275" s="9" t="str">
        <x:v>Ограничения отчёта по фактическим запускам</x:v>
      </x:c>
      <x:c r="F275" s="9" t="str">
        <x:v>Разобрать: Записанная версия; проверенный вход; непроверенные условия; устаревший результат.</x:v>
      </x:c>
      <x:c r="G275" s="9" t="str">
        <x:v>Сверь capstone-report с текущими artifacts. Исправь одну неподтверждённую формулировку и ссылку.</x:v>
      </x:c>
      <x:c r="H275" s="9" t="str">
        <x:v>Свой snapshot и regression case</x:v>
      </x:c>
      <x:c r="I275" s="9" t="str">
        <x:v>RU25 Скотт Чакон Бен Штрауб Pro Git — Глава 2: просмотр изменений и истории
https://git-scm.com/book/ru/v2
RU36 Securelist Разбор CVE 2023 23397 — Раздел об исправлении и пределах вывода
https://securelist.ru/analysis-of-attack-samples-exploiting-cve-2023-23397/107696/</x:v>
      </x:c>
      <x:c r="J275" s="9" t="str">
        <x:v>Один закрытый модуль предыдущий механизм–фаззинг, свой snapshot и README. Практика возвращается только после учебной паузы и восстановления.</x:v>
      </x:c>
      <x:c r="K275" s="9" t="str">
        <x:v>Какое утверждение требует ещё одного наблюдения?</x:v>
      </x:c>
      <x:c r="L275" s="9" t="str">
        <x:v>2027-07-02_note.md: вход, ожидание, факт, вывод, контроль</x:v>
      </x:c>
      <x:c r="M275" s="12"/>
      <x:c r="N275" s="12"/>
      <x:c r="O275" s="12"/>
      <x:c r="P275" s="14"/>
      <x:c r="Q275" s="9" t="str">
        <x:v>RU25 RU36</x:v>
      </x:c>
      <x:c r="R275" s="10" t="d">
        <x:v>2027-07-03T00:00:00.000Z</x:v>
      </x:c>
      <x:c r="S275" s="10" t="d">
        <x:v>2027-07-09T00:00:00.000Z</x:v>
      </x:c>
      <x:c r="T275" s="10" t="d">
        <x:v>2027-07-30T00:00:00.000Z</x:v>
      </x:c>
    </x:row>
    <x:row r="276" ht="88" hidden="0" customHeight="1">
      <x:c r="A276" s="10" t="d">
        <x:v>2027-07-03T00:00:00.000Z</x:v>
      </x:c>
      <x:c r="B276" s="9" t="str">
        <x:v>сб</x:v>
      </x:c>
      <x:c r="C276" s="9" t="n">
        <x:v>44</x:v>
      </x:c>
      <x:c r="D276" s="9" t="str">
        <x:v>повторение</x:v>
      </x:c>
      <x:c r="E276" s="9" t="str">
        <x:v>Завершение собственного binary capstone</x:v>
      </x:c>
      <x:c r="F276" s="9" t="str">
        <x:v>Повторить: README воспроизведения; подтверждённый последний шаг; ограничение вывода; cleanup и handoff.</x:v>
      </x:c>
      <x:c r="G276" s="9" t="str">
        <x:v>Повтори последний доступный шаг по README, оформи результат и cleanup. При усталости сохрани handoff.</x:v>
      </x:c>
      <x:c r="H276" s="9" t="str">
        <x:v>Свой snapshot и regression case</x:v>
      </x:c>
      <x:c r="I276" s="9" t="str">
        <x:v>RU25 Скотт Чакон Бен Штрауб Pro Git — Глава 2: просмотр изменений и истории
https://git-scm.com/book/ru/v2
RU36 Securelist Разбор CVE 2023 23397 — Раздел об исправлении и пределах вывода
https://securelist.ru/analysis-of-attack-samples-exploiting-cve-2023-23397/107696/</x:v>
      </x:c>
      <x:c r="J276" s="9" t="str">
        <x:v>Один закрытый модуль предыдущий механизм–фаззинг, свой snapshot и README. Практика возвращается только после учебной паузы и восстановления.</x:v>
      </x:c>
      <x:c r="K276" s="9" t="str">
        <x:v>Какое конкретное evidence завершает этот capstone?</x:v>
      </x:c>
      <x:c r="L276" s="9" t="str">
        <x:v>2027-07-03_note.md: вход, ожидание, факт, вывод, контроль</x:v>
      </x:c>
      <x:c r="M276" s="12"/>
      <x:c r="N276" s="12"/>
      <x:c r="O276" s="12"/>
      <x:c r="P276" s="14"/>
      <x:c r="Q276" s="9" t="str">
        <x:v>RU25 RU36</x:v>
      </x:c>
      <x:c r="R276" s="10" t="d">
        <x:v>2027-07-04T00:00:00.000Z</x:v>
      </x:c>
      <x:c r="S276" s="10" t="d">
        <x:v>2027-07-10T00:00:00.000Z</x:v>
      </x:c>
      <x:c r="T276" s="10"/>
    </x:row>
    <x:row r="277" ht="28" hidden="0" customHeight="1">
      <x:c r="A277" s="10" t="d">
        <x:v>2027-07-04T00:00:00.000Z</x:v>
      </x:c>
      <x:c r="B277" s="9" t="str">
        <x:v>вс</x:v>
      </x:c>
      <x:c r="C277" s="9" t="n">
        <x:v>44</x:v>
      </x:c>
      <x:c r="D277" s="9" t="str">
        <x:v>повторение</x:v>
      </x:c>
      <x:c r="E277" s="9" t="str">
        <x:v>Повторение Завершение собственного binary capstone</x:v>
      </x:c>
      <x:c r="F277" s="9" t="str">
        <x:v>Вспомнить README воспроизведения и объяснить один отрицательный контроль по готовой заметке.</x:v>
      </x:c>
      <x:c r="G277" s="9" t="str">
        <x:v>Сверить ответ с собственной записью. Новую лабораторию не открывать.</x:v>
      </x:c>
      <x:c r="H277" s="9" t="str">
        <x:v>Свой snapshot и regression case</x:v>
      </x:c>
      <x:c r="I277" s="9" t="str">
        <x:v>Своя готовая заметка по теме; нового чтения нет</x:v>
      </x:c>
      <x:c r="J277" s="9" t="str">
        <x:v>Один закрытый модуль предыдущий механизм–фаззинг, свой snapshot и README. Практика возвращается только после учебной паузы и восстановления.</x:v>
      </x:c>
      <x:c r="K277" s="9" t="str">
        <x:v>Какой факт недели лучше всего подтверждает освоенный механизм?</x:v>
      </x:c>
      <x:c r="L277" s="9" t="str">
        <x:v>Карточка памяти по готовой заметке</x:v>
      </x:c>
      <x:c r="M277" s="12"/>
      <x:c r="N277" s="12"/>
      <x:c r="O277" s="12"/>
      <x:c r="P277" s="14"/>
      <x:c r="Q277" s="9" t="str">
        <x:v>своя заметка</x:v>
      </x:c>
      <x:c r="R277" s="10" t="d">
        <x:v>2027-07-05T00:00:00.000Z</x:v>
      </x:c>
      <x:c r="S277" s="10" t="d">
        <x:v>2027-07-11T00:00:00.000Z</x:v>
      </x:c>
      <x:c r="T277" s="10"/>
    </x:row>
    <x:row r="278" ht="112" hidden="0" customHeight="1">
      <x:c r="A278" s="10" t="d">
        <x:v>2027-07-05T00:00:00.000Z</x:v>
      </x:c>
      <x:c r="B278" s="9" t="str">
        <x:v>пн</x:v>
      </x:c>
      <x:c r="C278" s="9" t="n">
        <x:v>45</x:v>
      </x:c>
      <x:c r="D278" s="9" t="str">
        <x:v>изучение</x:v>
      </x:c>
      <x:c r="E278" s="9" t="str">
        <x:v>TwoMillion — шаг 1 из 6</x:v>
      </x:c>
      <x:c r="F278" s="9" t="str">
        <x:v>Изучить и проверить: API и границы роли; исторический advisory и применимость версии; единый отчёт по web и host.</x:v>
      </x:c>
      <x:c r="G278" s="9" t="str">
        <x:v>Выбери TwoMillion при доступе. Определи scope, роли и разрешённые точки API; составь матрицу метод — объект — роль. При недоступности — локальная замена из карточки H12 в документе 12.
Локальная замена: Продолжай свой итоговый web/API-проект: матрица доступа, один подтверждённый переход, обычный и запрещённый случаи, исправление и отчёт.</x:v>
      </x:c>
      <x:c r="H278" s="9" t="str">
        <x:v>DevTools, Repeater, Nmap, Linux VM, первичный advisory</x:v>
      </x:c>
      <x:c r="I278" s="9" t="str">
        <x:v>RU05 OWASP ASVS 5.0.0 русский перевод — V8: авторизация; V13: API
https://github.com/OWASP/ASVS
RU03 METANIT Командная строка Linux — Процессы и права Linux
https://metanit.com/os/linux/
RU36 Securelist Разбор CVE 2023 23397 — Применимость исправления и ограничения вывода
https://securelist.ru/analysis-of-attack-samples-exploiting-cve-2023-23397/107696/</x:v>
      </x:c>
      <x:c r="J278" s="9" t="str">
        <x:v>Пройдены web/API, Linux-права, reverse/pwn и анализ исправления. Если спортивное восстановление не закончено, остаётся готовая заметка.</x:v>
      </x:c>
      <x:c r="K278" s="9" t="str">
        <x:v>Что подтверждено собственным наблюдением, какой неверный контроль это ограничивает и смогу ли я повторить шаг без ИИ?</x:v>
      </x:c>
      <x:c r="L278" s="9" t="str">
        <x:v>2027-07-05_H12_note.md: вход, версия, наблюдение, контроль, подсказки и следующий шаг</x:v>
      </x:c>
      <x:c r="M278" s="12"/>
      <x:c r="N278" s="12"/>
      <x:c r="O278" s="12"/>
      <x:c r="P278" s="14"/>
      <x:c r="Q278" s="9" t="str">
        <x:v>H12 TwoMillion; шаг 1/6
https://app.hackthebox.com/machines/547</x:v>
      </x:c>
      <x:c r="R278" s="10" t="d">
        <x:v>2027-07-06T00:00:00.000Z</x:v>
      </x:c>
      <x:c r="S278" s="10" t="d">
        <x:v>2027-07-12T00:00:00.000Z</x:v>
      </x:c>
      <x:c r="T278" s="10"/>
    </x:row>
    <x:row r="279" ht="112" hidden="0" customHeight="1">
      <x:c r="A279" s="10" t="d">
        <x:v>2027-07-06T00:00:00.000Z</x:v>
      </x:c>
      <x:c r="B279" s="9" t="str">
        <x:v>вт</x:v>
      </x:c>
      <x:c r="C279" s="9" t="n">
        <x:v>45</x:v>
      </x:c>
      <x:c r="D279" s="9" t="str">
        <x:v>изучение</x:v>
      </x:c>
      <x:c r="E279" s="9" t="str">
        <x:v>TwoMillion — шаг 2 из 6</x:v>
      </x:c>
      <x:c r="F279" s="9" t="str">
        <x:v>Изучить и проверить: API и границы роли; исторический advisory и применимость версии; единый отчёт по web и host.</x:v>
      </x:c>
      <x:c r="G279" s="9" t="str">
        <x:v>Проверь один инвариант API с обычным и запрещённым запросами. Сохрани фактические ответы и границу подтверждённого вывода. При недоступности — локальная замена из карточки H12 в документе 12.
Локальная замена: Продолжай свой итоговый web/API-проект: матрица доступа, один подтверждённый переход, обычный и запрещённый случаи, исправление и отчёт.</x:v>
      </x:c>
      <x:c r="H279" s="9" t="str">
        <x:v>DevTools, Repeater, Nmap, Linux VM, первичный advisory</x:v>
      </x:c>
      <x:c r="I279" s="9" t="str">
        <x:v>RU05 OWASP ASVS 5.0.0 русский перевод — V8: авторизация; V13: API
https://github.com/OWASP/ASVS
RU03 METANIT Командная строка Linux — Процессы и права Linux
https://metanit.com/os/linux/
RU36 Securelist Разбор CVE 2023 23397 — Применимость исправления и ограничения вывода
https://securelist.ru/analysis-of-attack-samples-exploiting-cve-2023-23397/107696/</x:v>
      </x:c>
      <x:c r="J279" s="9" t="str">
        <x:v>Пройдены web/API, Linux-права, reverse/pwn и анализ исправления. Если спортивное восстановление не закончено, остаётся готовая заметка.</x:v>
      </x:c>
      <x:c r="K279" s="9" t="str">
        <x:v>Что подтверждено собственным наблюдением, какой неверный контроль это ограничивает и смогу ли я повторить шаг без ИИ?</x:v>
      </x:c>
      <x:c r="L279" s="9" t="str">
        <x:v>2027-07-06_H12_note.md: вход, версия, наблюдение, контроль, подсказки и следующий шаг</x:v>
      </x:c>
      <x:c r="M279" s="12"/>
      <x:c r="N279" s="12"/>
      <x:c r="O279" s="12"/>
      <x:c r="P279" s="14"/>
      <x:c r="Q279" s="9" t="str">
        <x:v>H12 TwoMillion; шаг 2/6
https://app.hackthebox.com/machines/547</x:v>
      </x:c>
      <x:c r="R279" s="10" t="d">
        <x:v>2027-07-07T00:00:00.000Z</x:v>
      </x:c>
      <x:c r="S279" s="10" t="d">
        <x:v>2027-07-13T00:00:00.000Z</x:v>
      </x:c>
      <x:c r="T279" s="10"/>
    </x:row>
    <x:row r="280" ht="112" hidden="0" customHeight="1">
      <x:c r="A280" s="10" t="d">
        <x:v>2027-07-07T00:00:00.000Z</x:v>
      </x:c>
      <x:c r="B280" s="9" t="str">
        <x:v>ср</x:v>
      </x:c>
      <x:c r="C280" s="9" t="n">
        <x:v>45</x:v>
      </x:c>
      <x:c r="D280" s="9" t="str">
        <x:v>изучение</x:v>
      </x:c>
      <x:c r="E280" s="9" t="str">
        <x:v>TwoMillion — шаг 3 из 6</x:v>
      </x:c>
      <x:c r="F280" s="9" t="str">
        <x:v>Изучить и проверить: API и границы роли; исторический advisory и применимость версии; единый отчёт по web и host.</x:v>
      </x:c>
      <x:c r="G280" s="9" t="str">
        <x:v>Подтверди первый предусмотренный машиной переход от web к host. Запиши исходные полномочия и причину перехода. При недоступности — локальная замена из карточки H12 в документе 12.
Локальная замена: Продолжай свой итоговый web/API-проект: матрица доступа, один подтверждённый переход, обычный и запрещённый случаи, исправление и отчёт.</x:v>
      </x:c>
      <x:c r="H280" s="9" t="str">
        <x:v>DevTools, Repeater, Nmap, Linux VM, первичный advisory</x:v>
      </x:c>
      <x:c r="I280" s="9" t="str">
        <x:v>RU05 OWASP ASVS 5.0.0 русский перевод — V8: авторизация; V13: API
https://github.com/OWASP/ASVS
RU03 METANIT Командная строка Linux — Процессы и права Linux
https://metanit.com/os/linux/
RU36 Securelist Разбор CVE 2023 23397 — Применимость исправления и ограничения вывода
https://securelist.ru/analysis-of-attack-samples-exploiting-cve-2023-23397/107696/</x:v>
      </x:c>
      <x:c r="J280" s="9" t="str">
        <x:v>Пройдены web/API, Linux-права, reverse/pwn и анализ исправления. Если спортивное восстановление не закончено, остаётся готовая заметка.</x:v>
      </x:c>
      <x:c r="K280" s="9" t="str">
        <x:v>Что подтверждено собственным наблюдением, какой неверный контроль это ограничивает и смогу ли я повторить шаг без ИИ?</x:v>
      </x:c>
      <x:c r="L280" s="9" t="str">
        <x:v>2027-07-07_H12_note.md: вход, версия, наблюдение, контроль, подсказки и следующий шаг</x:v>
      </x:c>
      <x:c r="M280" s="12"/>
      <x:c r="N280" s="12"/>
      <x:c r="O280" s="12"/>
      <x:c r="P280" s="14"/>
      <x:c r="Q280" s="9" t="str">
        <x:v>H12 TwoMillion; шаг 3/6
https://app.hackthebox.com/machines/547</x:v>
      </x:c>
      <x:c r="R280" s="10" t="d">
        <x:v>2027-07-08T00:00:00.000Z</x:v>
      </x:c>
      <x:c r="S280" s="10" t="d">
        <x:v>2027-07-14T00:00:00.000Z</x:v>
      </x:c>
      <x:c r="T280" s="10"/>
    </x:row>
    <x:row r="281" ht="112" hidden="0" customHeight="1">
      <x:c r="A281" s="10" t="d">
        <x:v>2027-07-08T00:00:00.000Z</x:v>
      </x:c>
      <x:c r="B281" s="9" t="str">
        <x:v>чт</x:v>
      </x:c>
      <x:c r="C281" s="9" t="n">
        <x:v>45</x:v>
      </x:c>
      <x:c r="D281" s="9" t="str">
        <x:v>изучение</x:v>
      </x:c>
      <x:c r="E281" s="9" t="str">
        <x:v>TwoMillion — шаг 4 из 6</x:v>
      </x:c>
      <x:c r="F281" s="9" t="str">
        <x:v>Изучить и проверить: API и границы роли; исторический advisory и применимость версии; единый отчёт по web и host.</x:v>
      </x:c>
      <x:c r="G281" s="9" t="str">
        <x:v>Установи версию и предусловия одного разрешённого host-пути. Если встречается исторический CVE, сверь применимость с первичным advisory, не переноси его на современные системы. При недоступности — локальная замена из карточки H12 в документе 12.
Локальная замена: Продолжай свой итоговый web/API-проект: матрица доступа, один подтверждённый переход, обычный и запрещённый случаи, исправление и отчёт.</x:v>
      </x:c>
      <x:c r="H281" s="9" t="str">
        <x:v>DevTools, Repeater, Nmap, Linux VM, первичный advisory</x:v>
      </x:c>
      <x:c r="I281" s="9" t="str">
        <x:v>RU05 OWASP ASVS 5.0.0 русский перевод — V8: авторизация; V13: API
https://github.com/OWASP/ASVS
RU03 METANIT Командная строка Linux — Процессы и права Linux
https://metanit.com/os/linux/
RU36 Securelist Разбор CVE 2023 23397 — Применимость исправления и ограничения вывода
https://securelist.ru/analysis-of-attack-samples-exploiting-cve-2023-23397/107696/</x:v>
      </x:c>
      <x:c r="J281" s="9" t="str">
        <x:v>Пройдены web/API, Linux-права, reverse/pwn и анализ исправления. Если спортивное восстановление не закончено, остаётся готовая заметка.</x:v>
      </x:c>
      <x:c r="K281" s="9" t="str">
        <x:v>Что подтверждено собственным наблюдением, какой неверный контроль это ограничивает и смогу ли я повторить шаг без ИИ?</x:v>
      </x:c>
      <x:c r="L281" s="9" t="str">
        <x:v>2027-07-08_H12_note.md: вход, версия, наблюдение, контроль, подсказки и следующий шаг</x:v>
      </x:c>
      <x:c r="M281" s="12"/>
      <x:c r="N281" s="12"/>
      <x:c r="O281" s="12"/>
      <x:c r="P281" s="14"/>
      <x:c r="Q281" s="9" t="str">
        <x:v>H12 TwoMillion; шаг 4/6
https://app.hackthebox.com/machines/547</x:v>
      </x:c>
      <x:c r="R281" s="10" t="d">
        <x:v>2027-07-09T00:00:00.000Z</x:v>
      </x:c>
      <x:c r="S281" s="10" t="d">
        <x:v>2027-07-15T00:00:00.000Z</x:v>
      </x:c>
      <x:c r="T281" s="10"/>
    </x:row>
    <x:row r="282" ht="112" hidden="0" customHeight="1">
      <x:c r="A282" s="10" t="d">
        <x:v>2027-07-09T00:00:00.000Z</x:v>
      </x:c>
      <x:c r="B282" s="9" t="str">
        <x:v>пт</x:v>
      </x:c>
      <x:c r="C282" s="9" t="n">
        <x:v>45</x:v>
      </x:c>
      <x:c r="D282" s="9" t="str">
        <x:v>изучение</x:v>
      </x:c>
      <x:c r="E282" s="9" t="str">
        <x:v>TwoMillion — шаг 5 из 6</x:v>
      </x:c>
      <x:c r="F282" s="9" t="str">
        <x:v>Изучить и проверить: API и границы роли; исторический advisory и применимость версии; единый отчёт по web и host.</x:v>
      </x:c>
      <x:c r="G282" s="9" t="str">
        <x:v>Заверши проверенный путь; укажи защитное исправление и локальную модель regression case. Собственный parser-capstone сохраняется отдельно как уже готовый артефакт. При недоступности — локальная замена из карточки H12 в документе 12.
Локальная замена: Продолжай свой итоговый web/API-проект: матрица доступа, один подтверждённый переход, обычный и запрещённый случаи, исправление и отчёт.</x:v>
      </x:c>
      <x:c r="H282" s="9" t="str">
        <x:v>DevTools, Repeater, Nmap, Linux VM, первичный advisory</x:v>
      </x:c>
      <x:c r="I282" s="9" t="str">
        <x:v>RU05 OWASP ASVS 5.0.0 русский перевод — V8: авторизация; V13: API
https://github.com/OWASP/ASVS
RU03 METANIT Командная строка Linux — Процессы и права Linux
https://metanit.com/os/linux/
RU36 Securelist Разбор CVE 2023 23397 — Применимость исправления и ограничения вывода
https://securelist.ru/analysis-of-attack-samples-exploiting-cve-2023-23397/107696/</x:v>
      </x:c>
      <x:c r="J282" s="9" t="str">
        <x:v>Пройдены web/API, Linux-права, reverse/pwn и анализ исправления. Если спортивное восстановление не закончено, остаётся готовая заметка.</x:v>
      </x:c>
      <x:c r="K282" s="9" t="str">
        <x:v>Что подтверждено собственным наблюдением, какой неверный контроль это ограничивает и смогу ли я повторить шаг без ИИ?</x:v>
      </x:c>
      <x:c r="L282" s="9" t="str">
        <x:v>2027-07-09_H12_note.md: вход, версия, наблюдение, контроль, подсказки и следующий шаг</x:v>
      </x:c>
      <x:c r="M282" s="12"/>
      <x:c r="N282" s="12"/>
      <x:c r="O282" s="12"/>
      <x:c r="P282" s="14"/>
      <x:c r="Q282" s="9" t="str">
        <x:v>H12 TwoMillion; шаг 5/6
https://app.hackthebox.com/machines/547</x:v>
      </x:c>
      <x:c r="R282" s="10" t="d">
        <x:v>2027-07-10T00:00:00.000Z</x:v>
      </x:c>
      <x:c r="S282" s="10" t="d">
        <x:v>2027-07-16T00:00:00.000Z</x:v>
      </x:c>
      <x:c r="T282" s="10"/>
    </x:row>
    <x:row r="283" ht="112" hidden="0" customHeight="1">
      <x:c r="A283" s="10" t="d">
        <x:v>2027-07-10T00:00:00.000Z</x:v>
      </x:c>
      <x:c r="B283" s="9" t="str">
        <x:v>сб</x:v>
      </x:c>
      <x:c r="C283" s="9" t="n">
        <x:v>45</x:v>
      </x:c>
      <x:c r="D283" s="9" t="str">
        <x:v>повторение</x:v>
      </x:c>
      <x:c r="E283" s="9" t="str">
        <x:v>TwoMillion — шаг 6 из 6</x:v>
      </x:c>
      <x:c r="F283" s="9" t="str">
        <x:v>Повторить и применить: API и границы роли; исторический advisory и применимость версии; единый отчёт по web и host.</x:v>
      </x:c>
      <x:c r="G283" s="9" t="str">
        <x:v>Повтори итоговую цепочку по собственному README, оформи отчёт с ограничениями и cleanup. Не добавляй вторую машину в этот блок. При недоступности — локальная замена из карточки H12 в документе 12.
Локальная замена: Продолжай свой итоговый web/API-проект: матрица доступа, один подтверждённый переход, обычный и запрещённый случаи, исправление и отчёт.</x:v>
      </x:c>
      <x:c r="H283" s="9" t="str">
        <x:v>DevTools, Repeater, Nmap, Linux VM, первичный advisory</x:v>
      </x:c>
      <x:c r="I283" s="9" t="str">
        <x:v>RU05 OWASP ASVS 5.0.0 русский перевод — V8: авторизация; V13: API
https://github.com/OWASP/ASVS
RU03 METANIT Командная строка Linux — Процессы и права Linux
https://metanit.com/os/linux/
RU36 Securelist Разбор CVE 2023 23397 — Применимость исправления и ограничения вывода
https://securelist.ru/analysis-of-attack-samples-exploiting-cve-2023-23397/107696/</x:v>
      </x:c>
      <x:c r="J283" s="9" t="str">
        <x:v>Пройдены web/API, Linux-права, reverse/pwn и анализ исправления. Если спортивное восстановление не закончено, остаётся готовая заметка.</x:v>
      </x:c>
      <x:c r="K283" s="9" t="str">
        <x:v>Что подтверждено собственным наблюдением, какой неверный контроль это ограничивает и смогу ли я повторить шаг без ИИ?</x:v>
      </x:c>
      <x:c r="L283" s="9" t="str">
        <x:v>2027-07-10_H12_note.md: вход, версия, наблюдение, контроль, подсказки и следующий шаг</x:v>
      </x:c>
      <x:c r="M283" s="12"/>
      <x:c r="N283" s="12"/>
      <x:c r="O283" s="12"/>
      <x:c r="P283" s="14"/>
      <x:c r="Q283" s="9" t="str">
        <x:v>H12 TwoMillion; шаг 6/6
https://app.hackthebox.com/machines/547</x:v>
      </x:c>
      <x:c r="R283" s="10" t="d">
        <x:v>2027-07-11T00:00:00.000Z</x:v>
      </x:c>
      <x:c r="S283" s="10" t="d">
        <x:v>2027-07-17T00:00:00.000Z</x:v>
      </x:c>
      <x:c r="T283" s="10"/>
    </x:row>
    <x:row r="284" ht="28" hidden="0" customHeight="1">
      <x:c r="A284" s="10" t="d">
        <x:v>2027-07-11T00:00:00.000Z</x:v>
      </x:c>
      <x:c r="B284" s="9" t="str">
        <x:v>вс</x:v>
      </x:c>
      <x:c r="C284" s="9" t="n">
        <x:v>45</x:v>
      </x:c>
      <x:c r="D284" s="9" t="str">
        <x:v>повторение</x:v>
      </x:c>
      <x:c r="E284" s="9" t="str">
        <x:v>Повторение Итоговый pentest-отчёт и cleanup своей lab</x:v>
      </x:c>
      <x:c r="F284" s="9" t="str">
        <x:v>Вспомнить Подтверждённые звенья и объяснить один отрицательный контроль по готовой заметке.</x:v>
      </x:c>
      <x:c r="G284" s="9" t="str">
        <x:v>Сверить ответ с собственной записью. Новую лабораторию не открывать.</x:v>
      </x:c>
      <x:c r="H284" s="9" t="str">
        <x:v>Разрешённая web/host-lab</x:v>
      </x:c>
      <x:c r="I284" s="9" t="str">
        <x:v>Своя готовая заметка по теме; нового чтения нет</x:v>
      </x:c>
      <x:c r="J284" s="9" t="str">
        <x:v>Подтверждён предыдущий механизм; действуют условия темы и разрешённой лаборатории.</x:v>
      </x:c>
      <x:c r="K284" s="9" t="str">
        <x:v>Какой факт недели лучше всего подтверждает освоенный механизм?</x:v>
      </x:c>
      <x:c r="L284" s="9" t="str">
        <x:v>Карточка памяти по готовой заметке</x:v>
      </x:c>
      <x:c r="M284" s="12"/>
      <x:c r="N284" s="12"/>
      <x:c r="O284" s="12"/>
      <x:c r="P284" s="14"/>
      <x:c r="Q284" s="9" t="str">
        <x:v>своя заметка</x:v>
      </x:c>
      <x:c r="R284" s="10" t="d">
        <x:v>2027-07-12T00:00:00.000Z</x:v>
      </x:c>
      <x:c r="S284" s="10" t="d">
        <x:v>2027-07-18T00:00:00.000Z</x:v>
      </x:c>
      <x:c r="T284" s="10"/>
    </x:row>
    <x:row r="285" ht="100" hidden="0" customHeight="1">
      <x:c r="A285" s="10" t="d">
        <x:v>2027-07-12T00:00:00.000Z</x:v>
      </x:c>
      <x:c r="B285" s="9" t="str">
        <x:v>пн</x:v>
      </x:c>
      <x:c r="C285" s="9" t="n">
        <x:v>46</x:v>
      </x:c>
      <x:c r="D285" s="9" t="str">
        <x:v>изучение</x:v>
      </x:c>
      <x:c r="E285" s="9" t="str">
        <x:v>Crack Me 1 — шаг 1 из 6</x:v>
      </x:c>
      <x:c r="F285" s="9" t="str">
        <x:v>Изучить и проверить: Формат и архитектура бинарника; статический и динамический анализ; проверяемый write-up.</x:v>
      </x:c>
      <x:c r="G285" s="9" t="str">
        <x:v>Открой Crack Me 1. Сохрани исходный файл и хэш, определи формат и разрядность, выбери VM. Опиши вход и критерий результата без готового решения. При недоступности — локальная замена из карточки R09 в документе 12.
Локальная замена: В собственной сохранённой сборке PE или ELF восстанови одну функцию проверки по листингу и отладчику. Подтверди обычный и неверный вход и подготовь handoff с архитектурой и версиями. Продолжай один и тот же локальный пример по шагу текущего дня.</x:v>
      </x:c>
      <x:c r="H285" s="9" t="str">
        <x:v>Ghidra, подходящий отладчик, Linux или Windows VM по файлу</x:v>
      </x:c>
      <x:c r="I285" s="9" t="str">
        <x:v>RU30 S0mbre Разбор учебного crackme в Ghidra — Восстановление функции и проверка гипотезы
https://habr.com/ru/articles/447450/
RU34 Microsoft Learn Формат PE — PE заголовки секции и ресурсы
https://learn.microsoft.com/ru-ru/windows/win32/debug/pe-format
RU25 Скотт Чакон Бен Штрауб Pro Git — История и воспроизводимый артефакт
https://git-scm.com/book/ru/v2</x:v>
      </x:c>
      <x:c r="J285" s="9" t="str">
        <x:v>R11 R110; этап Windows PE и ABI. Не предполагать Linux ELF или x64 по названию; использовать соответствующую VM.</x:v>
      </x:c>
      <x:c r="K285" s="9" t="str">
        <x:v>Что подтверждено собственным наблюдением, какой неверный контроль это ограничивает и смогу ли я повторить шаг без ИИ?</x:v>
      </x:c>
      <x:c r="L285" s="9" t="str">
        <x:v>2027-07-12_R09_note.md: вход, версия, наблюдение, контроль, подсказки и следующий шаг</x:v>
      </x:c>
      <x:c r="M285" s="12"/>
      <x:c r="N285" s="12"/>
      <x:c r="O285" s="12"/>
      <x:c r="P285" s="14"/>
      <x:c r="Q285" s="9" t="str">
        <x:v>R09 Crack Me 1; шаг 1/6
https://ringzer0ctf.com/challenges/9
Вместо блока, один вариант: RR80, RR81, RR166, HVA03, HVA04; карточки в документе 12.</x:v>
      </x:c>
      <x:c r="R285" s="10" t="d">
        <x:v>2027-07-13T00:00:00.000Z</x:v>
      </x:c>
      <x:c r="S285" s="10" t="d">
        <x:v>2027-07-19T00:00:00.000Z</x:v>
      </x:c>
      <x:c r="T285" s="10"/>
    </x:row>
    <x:row r="286" ht="100" hidden="0" customHeight="1">
      <x:c r="A286" s="10" t="d">
        <x:v>2027-07-13T00:00:00.000Z</x:v>
      </x:c>
      <x:c r="B286" s="9" t="str">
        <x:v>вт</x:v>
      </x:c>
      <x:c r="C286" s="9" t="n">
        <x:v>46</x:v>
      </x:c>
      <x:c r="D286" s="9" t="str">
        <x:v>изучение</x:v>
      </x:c>
      <x:c r="E286" s="9" t="str">
        <x:v>Crack Me 1 — шаг 2 из 6</x:v>
      </x:c>
      <x:c r="F286" s="9" t="str">
        <x:v>Изучить и проверить: Формат и архитектура бинарника; статический и динамический анализ; проверяемый write-up.</x:v>
      </x:c>
      <x:c r="G286" s="9" t="str">
        <x:v>Выполни первичный статический разбор. Выдели данные и функцию, которые действительно связаны с проверкой; запиши одну гипотезу. При недоступности — локальная замена из карточки R09 в документе 12.
Локальная замена: В собственной сохранённой сборке PE или ELF восстанови одну функцию проверки по листингу и отладчику. Подтверди обычный и неверный вход и подготовь handoff с архитектурой и версиями. Продолжай один и тот же локальный пример по шагу текущего дня.</x:v>
      </x:c>
      <x:c r="H286" s="9" t="str">
        <x:v>Ghidra, подходящий отладчик, Linux или Windows VM по файлу</x:v>
      </x:c>
      <x:c r="I286" s="9" t="str">
        <x:v>RU30 S0mbre Разбор учебного crackme в Ghidra — Восстановление функции и проверка гипотезы
https://habr.com/ru/articles/447450/
RU34 Microsoft Learn Формат PE — PE заголовки секции и ресурсы
https://learn.microsoft.com/ru-ru/windows/win32/debug/pe-format
RU25 Скотт Чакон Бен Штрауб Pro Git — История и воспроизводимый артефакт
https://git-scm.com/book/ru/v2</x:v>
      </x:c>
      <x:c r="J286" s="9" t="str">
        <x:v>R11 R110; этап Windows PE и ABI. Не предполагать Linux ELF или x64 по названию; использовать соответствующую VM.</x:v>
      </x:c>
      <x:c r="K286" s="9" t="str">
        <x:v>Что подтверждено собственным наблюдением, какой неверный контроль это ограничивает и смогу ли я повторить шаг без ИИ?</x:v>
      </x:c>
      <x:c r="L286" s="9" t="str">
        <x:v>2027-07-13_R09_note.md: вход, версия, наблюдение, контроль, подсказки и следующий шаг</x:v>
      </x:c>
      <x:c r="M286" s="12"/>
      <x:c r="N286" s="12"/>
      <x:c r="O286" s="12"/>
      <x:c r="P286" s="14"/>
      <x:c r="Q286" s="9" t="str">
        <x:v>R09 Crack Me 1; шаг 2/6
https://ringzer0ctf.com/challenges/9
Вместо блока, один вариант: RR80, RR81, RR166, HVA03, HVA04; карточки в документе 12.</x:v>
      </x:c>
      <x:c r="R286" s="10" t="d">
        <x:v>2027-07-14T00:00:00.000Z</x:v>
      </x:c>
      <x:c r="S286" s="10" t="d">
        <x:v>2027-07-20T00:00:00.000Z</x:v>
      </x:c>
      <x:c r="T286" s="10"/>
    </x:row>
    <x:row r="287" ht="100" hidden="0" customHeight="1">
      <x:c r="A287" s="10" t="d">
        <x:v>2027-07-14T00:00:00.000Z</x:v>
      </x:c>
      <x:c r="B287" s="9" t="str">
        <x:v>ср</x:v>
      </x:c>
      <x:c r="C287" s="9" t="n">
        <x:v>46</x:v>
      </x:c>
      <x:c r="D287" s="9" t="str">
        <x:v>изучение</x:v>
      </x:c>
      <x:c r="E287" s="9" t="str">
        <x:v>Crack Me 1 — шаг 3 из 6</x:v>
      </x:c>
      <x:c r="F287" s="9" t="str">
        <x:v>Изучить и проверить: Формат и архитектура бинарника; статический и динамический анализ; проверяемый write-up.</x:v>
      </x:c>
      <x:c r="G287" s="9" t="str">
        <x:v>Проверь гипотезу наблюдением в подходящем отладчике или собственным расчётом, указанным в условии. Сохрани промежуточный результат. При недоступности — локальная замена из карточки R09 в документе 12.
Локальная замена: В собственной сохранённой сборке PE или ELF восстанови одну функцию проверки по листингу и отладчику. Подтверди обычный и неверный вход и подготовь handoff с архитектурой и версиями. Продолжай один и тот же локальный пример по шагу текущего дня.</x:v>
      </x:c>
      <x:c r="H287" s="9" t="str">
        <x:v>Ghidra, подходящий отладчик, Linux или Windows VM по файлу</x:v>
      </x:c>
      <x:c r="I287" s="9" t="str">
        <x:v>RU30 S0mbre Разбор учебного crackme в Ghidra — Восстановление функции и проверка гипотезы
https://habr.com/ru/articles/447450/
RU34 Microsoft Learn Формат PE — PE заголовки секции и ресурсы
https://learn.microsoft.com/ru-ru/windows/win32/debug/pe-format
RU25 Скотт Чакон Бен Штрауб Pro Git — История и воспроизводимый артефакт
https://git-scm.com/book/ru/v2</x:v>
      </x:c>
      <x:c r="J287" s="9" t="str">
        <x:v>R11 R110; этап Windows PE и ABI. Не предполагать Linux ELF или x64 по названию; использовать соответствующую VM.</x:v>
      </x:c>
      <x:c r="K287" s="9" t="str">
        <x:v>Что подтверждено собственным наблюдением, какой неверный контроль это ограничивает и смогу ли я повторить шаг без ИИ?</x:v>
      </x:c>
      <x:c r="L287" s="9" t="str">
        <x:v>2027-07-14_R09_note.md: вход, версия, наблюдение, контроль, подсказки и следующий шаг</x:v>
      </x:c>
      <x:c r="M287" s="12"/>
      <x:c r="N287" s="12"/>
      <x:c r="O287" s="12"/>
      <x:c r="P287" s="14"/>
      <x:c r="Q287" s="9" t="str">
        <x:v>R09 Crack Me 1; шаг 3/6
https://ringzer0ctf.com/challenges/9
Вместо блока, один вариант: RR80, RR81, RR166, HVA03, HVA04; карточки в документе 12.</x:v>
      </x:c>
      <x:c r="R287" s="10" t="d">
        <x:v>2027-07-15T00:00:00.000Z</x:v>
      </x:c>
      <x:c r="S287" s="10" t="d">
        <x:v>2027-07-21T00:00:00.000Z</x:v>
      </x:c>
      <x:c r="T287" s="10"/>
    </x:row>
    <x:row r="288" ht="100" hidden="0" customHeight="1">
      <x:c r="A288" s="10" t="d">
        <x:v>2027-07-15T00:00:00.000Z</x:v>
      </x:c>
      <x:c r="B288" s="9" t="str">
        <x:v>чт</x:v>
      </x:c>
      <x:c r="C288" s="9" t="n">
        <x:v>46</x:v>
      </x:c>
      <x:c r="D288" s="9" t="str">
        <x:v>изучение</x:v>
      </x:c>
      <x:c r="E288" s="9" t="str">
        <x:v>Crack Me 1 — шаг 4 из 6</x:v>
      </x:c>
      <x:c r="F288" s="9" t="str">
        <x:v>Изучить и проверить: Формат и архитектура бинарника; статический и динамический анализ; проверяемый write-up.</x:v>
      </x:c>
      <x:c r="G288" s="9" t="str">
        <x:v>Оформи handoff по тому же Crack Me 1: файлы, версии, подтверждённые шаги, исключённые пути и следующий шаг. При недоступности — локальная замена из карточки R09 в документе 12.
Локальная замена: В собственной сохранённой сборке PE или ELF восстанови одну функцию проверки по листингу и отладчику. Подтверди обычный и неверный вход и подготовь handoff с архитектурой и версиями. Продолжай один и тот же локальный пример по шагу текущего дня.</x:v>
      </x:c>
      <x:c r="H288" s="9" t="str">
        <x:v>Ghidra, подходящий отладчик, Linux или Windows VM по файлу</x:v>
      </x:c>
      <x:c r="I288" s="9" t="str">
        <x:v>RU30 S0mbre Разбор учебного crackme в Ghidra — Восстановление функции и проверка гипотезы
https://habr.com/ru/articles/447450/
RU34 Microsoft Learn Формат PE — PE заголовки секции и ресурсы
https://learn.microsoft.com/ru-ru/windows/win32/debug/pe-format
RU25 Скотт Чакон Бен Штрауб Pro Git — История и воспроизводимый артефакт
https://git-scm.com/book/ru/v2</x:v>
      </x:c>
      <x:c r="J288" s="9" t="str">
        <x:v>R11 R110; этап Windows PE и ABI. Не предполагать Linux ELF или x64 по названию; использовать соответствующую VM.</x:v>
      </x:c>
      <x:c r="K288" s="9" t="str">
        <x:v>Что подтверждено собственным наблюдением, какой неверный контроль это ограничивает и смогу ли я повторить шаг без ИИ?</x:v>
      </x:c>
      <x:c r="L288" s="9" t="str">
        <x:v>2027-07-15_R09_note.md: вход, версия, наблюдение, контроль, подсказки и следующий шаг</x:v>
      </x:c>
      <x:c r="M288" s="12"/>
      <x:c r="N288" s="12"/>
      <x:c r="O288" s="12"/>
      <x:c r="P288" s="14"/>
      <x:c r="Q288" s="9" t="str">
        <x:v>R09 Crack Me 1; шаг 4/6
https://ringzer0ctf.com/challenges/9
Вместо блока, один вариант: RR80, RR81, RR166, HVA03, HVA04; карточки в документе 12.</x:v>
      </x:c>
      <x:c r="R288" s="10" t="d">
        <x:v>2027-07-16T00:00:00.000Z</x:v>
      </x:c>
      <x:c r="S288" s="10" t="d">
        <x:v>2027-07-22T00:00:00.000Z</x:v>
      </x:c>
      <x:c r="T288" s="10"/>
    </x:row>
    <x:row r="289" ht="100" hidden="0" customHeight="1">
      <x:c r="A289" s="10" t="d">
        <x:v>2027-07-16T00:00:00.000Z</x:v>
      </x:c>
      <x:c r="B289" s="9" t="str">
        <x:v>пт</x:v>
      </x:c>
      <x:c r="C289" s="9" t="n">
        <x:v>46</x:v>
      </x:c>
      <x:c r="D289" s="9" t="str">
        <x:v>изучение</x:v>
      </x:c>
      <x:c r="E289" s="9" t="str">
        <x:v>Crack Me 1 — шаг 5 из 6</x:v>
      </x:c>
      <x:c r="F289" s="9" t="str">
        <x:v>Изучить и проверить: Формат и архитектура бинарника; статический и динамический анализ; проверяемый write-up.</x:v>
      </x:c>
      <x:c r="G289" s="9" t="str">
        <x:v>Повтори ключевой шаг по вчерашнему handoff. Уточни первое расхождение и исправь запись, сохраняя исходный файл. При недоступности — локальная замена из карточки R09 в документе 12.
Локальная замена: В собственной сохранённой сборке PE или ELF восстанови одну функцию проверки по листингу и отладчику. Подтверди обычный и неверный вход и подготовь handoff с архитектурой и версиями. Продолжай один и тот же локальный пример по шагу текущего дня.</x:v>
      </x:c>
      <x:c r="H289" s="9" t="str">
        <x:v>Ghidra, подходящий отладчик, Linux или Windows VM по файлу</x:v>
      </x:c>
      <x:c r="I289" s="9" t="str">
        <x:v>RU30 S0mbre Разбор учебного crackme в Ghidra — Восстановление функции и проверка гипотезы
https://habr.com/ru/articles/447450/
RU34 Microsoft Learn Формат PE — PE заголовки секции и ресурсы
https://learn.microsoft.com/ru-ru/windows/win32/debug/pe-format
RU25 Скотт Чакон Бен Штрауб Pro Git — История и воспроизводимый артефакт
https://git-scm.com/book/ru/v2</x:v>
      </x:c>
      <x:c r="J289" s="9" t="str">
        <x:v>R11 R110; этап Windows PE и ABI. Не предполагать Linux ELF или x64 по названию; использовать соответствующую VM.</x:v>
      </x:c>
      <x:c r="K289" s="9" t="str">
        <x:v>Что подтверждено собственным наблюдением, какой неверный контроль это ограничивает и смогу ли я повторить шаг без ИИ?</x:v>
      </x:c>
      <x:c r="L289" s="9" t="str">
        <x:v>2027-07-16_R09_note.md: вход, версия, наблюдение, контроль, подсказки и следующий шаг</x:v>
      </x:c>
      <x:c r="M289" s="12"/>
      <x:c r="N289" s="12"/>
      <x:c r="O289" s="12"/>
      <x:c r="P289" s="14"/>
      <x:c r="Q289" s="9" t="str">
        <x:v>R09 Crack Me 1; шаг 5/6
https://ringzer0ctf.com/challenges/9
Вместо блока, один вариант: RR80, RR81, RR166, HVA03, HVA04; карточки в документе 12.</x:v>
      </x:c>
      <x:c r="R289" s="10" t="d">
        <x:v>2027-07-17T00:00:00.000Z</x:v>
      </x:c>
      <x:c r="S289" s="10" t="d">
        <x:v>2027-07-23T00:00:00.000Z</x:v>
      </x:c>
      <x:c r="T289" s="10"/>
    </x:row>
    <x:row r="290" ht="100" hidden="0" customHeight="1">
      <x:c r="A290" s="10" t="d">
        <x:v>2027-07-17T00:00:00.000Z</x:v>
      </x:c>
      <x:c r="B290" s="9" t="str">
        <x:v>сб</x:v>
      </x:c>
      <x:c r="C290" s="9" t="n">
        <x:v>46</x:v>
      </x:c>
      <x:c r="D290" s="9" t="str">
        <x:v>повторение</x:v>
      </x:c>
      <x:c r="E290" s="9" t="str">
        <x:v>Crack Me 1 — шаг 6 из 6</x:v>
      </x:c>
      <x:c r="F290" s="9" t="str">
        <x:v>Повторить и применить: Формат и архитектура бинарника; статический и динамический анализ; проверяемый write-up.</x:v>
      </x:c>
      <x:c r="G290" s="9" t="str">
        <x:v>Заверши Crack Me 1 и write-up. Покажи механизм, обычный и неверный случай и границы вывода; если не завершено, оставь воспроизводимое препятствие вместо скопированного ответа. При недоступности — локальная замена из карточки R09 в документе 12.
Локальная замена: В собственной сохранённой сборке PE или ELF восстанови одну функцию проверки по листингу и отладчику. Подтверди обычный и неверный вход и подготовь handoff с архитектурой и версиями. Продолжай один и тот же локальный пример по шагу текущего дня.</x:v>
      </x:c>
      <x:c r="H290" s="9" t="str">
        <x:v>Ghidra, подходящий отладчик, Linux или Windows VM по файлу</x:v>
      </x:c>
      <x:c r="I290" s="9" t="str">
        <x:v>RU30 S0mbre Разбор учебного crackme в Ghidra — Восстановление функции и проверка гипотезы
https://habr.com/ru/articles/447450/
RU34 Microsoft Learn Формат PE — PE заголовки секции и ресурсы
https://learn.microsoft.com/ru-ru/windows/win32/debug/pe-format
RU25 Скотт Чакон Бен Штрауб Pro Git — История и воспроизводимый артефакт
https://git-scm.com/book/ru/v2</x:v>
      </x:c>
      <x:c r="J290" s="9" t="str">
        <x:v>R11 R110; этап Windows PE и ABI. Не предполагать Linux ELF или x64 по названию; использовать соответствующую VM.</x:v>
      </x:c>
      <x:c r="K290" s="9" t="str">
        <x:v>Что подтверждено собственным наблюдением, какой неверный контроль это ограничивает и смогу ли я повторить шаг без ИИ?</x:v>
      </x:c>
      <x:c r="L290" s="9" t="str">
        <x:v>2027-07-17_R09_note.md: вход, версия, наблюдение, контроль, подсказки и следующий шаг</x:v>
      </x:c>
      <x:c r="M290" s="12"/>
      <x:c r="N290" s="12"/>
      <x:c r="O290" s="12"/>
      <x:c r="P290" s="14"/>
      <x:c r="Q290" s="9" t="str">
        <x:v>R09 Crack Me 1; шаг 6/6
https://ringzer0ctf.com/challenges/9
Вместо блока, один вариант: RR80, RR81, RR166, HVA03, HVA04; карточки в документе 12.</x:v>
      </x:c>
      <x:c r="R290" s="10" t="d">
        <x:v>2027-07-18T00:00:00.000Z</x:v>
      </x:c>
      <x:c r="S290" s="10" t="d">
        <x:v>2027-07-24T00:00:00.000Z</x:v>
      </x:c>
      <x:c r="T290" s="10"/>
    </x:row>
    <x:row r="291" ht="28" hidden="0" customHeight="1">
      <x:c r="A291" s="10" t="d">
        <x:v>2027-07-18T00:00:00.000Z</x:v>
      </x:c>
      <x:c r="B291" s="9" t="str">
        <x:v>вс</x:v>
      </x:c>
      <x:c r="C291" s="9" t="n">
        <x:v>46</x:v>
      </x:c>
      <x:c r="D291" s="9" t="str">
        <x:v>повторение</x:v>
      </x:c>
      <x:c r="E291" s="9" t="str">
        <x:v>Повторение CTF write-up с объяснением и контрольным случаем</x:v>
      </x:c>
      <x:c r="F291" s="9" t="str">
        <x:v>Вспомнить Механизм и объяснить один отрицательный контроль по готовой заметке.</x:v>
      </x:c>
      <x:c r="G291" s="9" t="str">
        <x:v>Сверить ответ с собственной записью. Новую лабораторию не открывать.</x:v>
      </x:c>
      <x:c r="H291" s="9" t="str">
        <x:v>Выданная CTF или старый artifact</x:v>
      </x:c>
      <x:c r="I291" s="9" t="str">
        <x:v>Своя готовая заметка по теме; нового чтения нет</x:v>
      </x:c>
      <x:c r="J291" s="9" t="str">
        <x:v>Подтверждён предыдущий механизм; действуют условия темы и разрешённой лаборатории.</x:v>
      </x:c>
      <x:c r="K291" s="9" t="str">
        <x:v>Какой факт недели лучше всего подтверждает освоенный механизм?</x:v>
      </x:c>
      <x:c r="L291" s="9" t="str">
        <x:v>Карточка памяти по готовой заметке</x:v>
      </x:c>
      <x:c r="M291" s="12"/>
      <x:c r="N291" s="12"/>
      <x:c r="O291" s="12"/>
      <x:c r="P291" s="14"/>
      <x:c r="Q291" s="9" t="str">
        <x:v>своя заметка</x:v>
      </x:c>
      <x:c r="R291" s="10" t="d">
        <x:v>2027-07-19T00:00:00.000Z</x:v>
      </x:c>
      <x:c r="S291" s="10" t="d">
        <x:v>2027-07-25T00:00:00.000Z</x:v>
      </x:c>
      <x:c r="T291" s="10"/>
    </x:row>
    <x:row r="292" ht="76" hidden="0" customHeight="1">
      <x:c r="A292" s="10" t="d">
        <x:v>2027-07-19T00:00:00.000Z</x:v>
      </x:c>
      <x:c r="B292" s="9" t="str">
        <x:v>пн</x:v>
      </x:c>
      <x:c r="C292" s="9" t="n">
        <x:v>47</x:v>
      </x:c>
      <x:c r="D292" s="9" t="str">
        <x:v>изучение</x:v>
      </x:c>
      <x:c r="E292" s="9" t="str">
        <x:v>Источник телеметрии и пригодность события к обнаружению</x:v>
      </x:c>
      <x:c r="F292" s="9" t="str">
        <x:v>Разобрать: Источник; identity; correlation id; поля; потеря события.</x:v>
      </x:c>
      <x:c r="G292" s="9" t="str">
        <x:v>На своей lab выбери одно маркерное действие. Проследи его от источника журнала до сохранённой записи. Отметь отсутствие источника отдельно от отсутствия alert.</x:v>
      </x:c>
      <x:c r="H292" s="9" t="str">
        <x:v>Локальные events, Python</x:v>
      </x:c>
      <x:c r="I292" s="9" t="str">
        <x:v>RU38 Yandex Cloud Сбор и анализ аудитных логов — События; доставка; анализ
https://yandex.cloud/ru/docs/security/standard/audit-logs
RU25 Скотт Чакон Бен Штрауб Pro Git — Воспроизводимость результата по истории
https://git-scm.com/book/ru/v2</x:v>
      </x:c>
      <x:c r="J292" s="9" t="str">
        <x:v>Подтверждён предыдущий механизм; действуют условия темы и разрешённой лаборатории.</x:v>
      </x:c>
      <x:c r="K292" s="9" t="str">
        <x:v>Как отличить отсутствие события от неработающего правила?</x:v>
      </x:c>
      <x:c r="L292" s="9" t="str">
        <x:v>Одно событие с проверенным происхождением</x:v>
      </x:c>
      <x:c r="M292" s="12"/>
      <x:c r="N292" s="12"/>
      <x:c r="O292" s="12"/>
      <x:c r="P292" s="14"/>
      <x:c r="Q292" s="9" t="str">
        <x:v>RU38 RU25
Вместо блока, один вариант: KA06; карточки в документе 12.</x:v>
      </x:c>
      <x:c r="R292" s="10" t="d">
        <x:v>2027-07-20T00:00:00.000Z</x:v>
      </x:c>
      <x:c r="S292" s="10" t="d">
        <x:v>2027-07-26T00:00:00.000Z</x:v>
      </x:c>
      <x:c r="T292" s="10"/>
    </x:row>
    <x:row r="293" ht="76" hidden="0" customHeight="1">
      <x:c r="A293" s="10" t="d">
        <x:v>2027-07-20T00:00:00.000Z</x:v>
      </x:c>
      <x:c r="B293" s="9" t="str">
        <x:v>вт</x:v>
      </x:c>
      <x:c r="C293" s="9" t="n">
        <x:v>47</x:v>
      </x:c>
      <x:c r="D293" s="9" t="str">
        <x:v>изучение</x:v>
      </x:c>
      <x:c r="E293" s="9" t="str">
        <x:v>Контрольное действие и корректная атрибуция</x:v>
      </x:c>
      <x:c r="F293" s="9" t="str">
        <x:v>Разобрать: Тестовая identity; ожидаемое действие; объект; контрольная запись.</x:v>
      </x:c>
      <x:c r="G293" s="9" t="str">
        <x:v>Выполни одно безопасное действие в своей lab. Свяжи запись с тестовой identity и объектом, затем сравни с обычным действием. Реальные учётные данные не использовать.</x:v>
      </x:c>
      <x:c r="H293" s="9" t="str">
        <x:v>Своя lab, локальный журнал</x:v>
      </x:c>
      <x:c r="I293" s="9" t="str">
        <x:v>RU38 Yandex Cloud Сбор и анализ аудитных логов — События; доставка; анализ
https://yandex.cloud/ru/docs/security/standard/audit-logs
RU25 Скотт Чакон Бен Штрауб Pro Git — Воспроизводимость результата по истории
https://git-scm.com/book/ru/v2</x:v>
      </x:c>
      <x:c r="J293" s="9" t="str">
        <x:v>Подтверждён предыдущий механизм; действуют условия темы и разрешённой лаборатории.</x:v>
      </x:c>
      <x:c r="K293" s="9" t="str">
        <x:v>Какие поля связывают событие именно с твоим действием?</x:v>
      </x:c>
      <x:c r="L293" s="9" t="str">
        <x:v>Пара событий и правило их сопоставления</x:v>
      </x:c>
      <x:c r="M293" s="12"/>
      <x:c r="N293" s="12"/>
      <x:c r="O293" s="12"/>
      <x:c r="P293" s="14"/>
      <x:c r="Q293" s="9" t="str">
        <x:v>RU38 RU25
Вместо блока, один вариант: KA06; карточки в документе 12.</x:v>
      </x:c>
      <x:c r="R293" s="10" t="d">
        <x:v>2027-07-21T00:00:00.000Z</x:v>
      </x:c>
      <x:c r="S293" s="10" t="d">
        <x:v>2027-07-27T00:00:00.000Z</x:v>
      </x:c>
      <x:c r="T293" s="10"/>
    </x:row>
    <x:row r="294" ht="76" hidden="0" customHeight="1">
      <x:c r="A294" s="10" t="d">
        <x:v>2027-07-21T00:00:00.000Z</x:v>
      </x:c>
      <x:c r="B294" s="9" t="str">
        <x:v>ср</x:v>
      </x:c>
      <x:c r="C294" s="9" t="n">
        <x:v>47</x:v>
      </x:c>
      <x:c r="D294" s="9" t="str">
        <x:v>изучение</x:v>
      </x:c>
      <x:c r="E294" s="9" t="str">
        <x:v>Нормализация события без потери значимых полей</x:v>
      </x:c>
      <x:c r="F294" s="9" t="str">
        <x:v>Разобрать: Raw event; parsed record; schema; недостающее поле.</x:v>
      </x:c>
      <x:c r="G294" s="9" t="str">
        <x:v>Сравни исходную и разобранную запись. Удали одно нужное поле в копии fixture и проверь, что потеря видна как ошибка данных, а не как успешный отрицательный тест.</x:v>
      </x:c>
      <x:c r="H294" s="9" t="str">
        <x:v>modern_lab.py events, JSON</x:v>
      </x:c>
      <x:c r="I294" s="9" t="str">
        <x:v>RU38 Yandex Cloud Сбор и анализ аудитных логов — События; доставка; анализ
https://yandex.cloud/ru/docs/security/standard/audit-logs
RU25 Скотт Чакон Бен Штрауб Pro Git — Воспроизводимость результата по истории
https://git-scm.com/book/ru/v2</x:v>
      </x:c>
      <x:c r="J294" s="9" t="str">
        <x:v>Подтверждён предыдущий механизм; действуют условия темы и разрешённой лаборатории.</x:v>
      </x:c>
      <x:c r="K294" s="9" t="str">
        <x:v>Почему неполная запись не является доказанным отсутствием опасного действия?</x:v>
      </x:c>
      <x:c r="L294" s="9" t="str">
        <x:v>Две записи и обнаруженная ошибка схемы</x:v>
      </x:c>
      <x:c r="M294" s="12"/>
      <x:c r="N294" s="12"/>
      <x:c r="O294" s="12"/>
      <x:c r="P294" s="14"/>
      <x:c r="Q294" s="9" t="str">
        <x:v>RU38 RU25
Вместо блока, один вариант: KA06; карточки в документе 12.</x:v>
      </x:c>
      <x:c r="R294" s="10" t="d">
        <x:v>2027-07-22T00:00:00.000Z</x:v>
      </x:c>
      <x:c r="S294" s="10" t="d">
        <x:v>2027-07-28T00:00:00.000Z</x:v>
      </x:c>
      <x:c r="T294" s="10"/>
    </x:row>
    <x:row r="295" ht="76" hidden="0" customHeight="1">
      <x:c r="A295" s="10" t="d">
        <x:v>2027-07-22T00:00:00.000Z</x:v>
      </x:c>
      <x:c r="B295" s="9" t="str">
        <x:v>чт</x:v>
      </x:c>
      <x:c r="C295" s="9" t="n">
        <x:v>47</x:v>
      </x:c>
      <x:c r="D295" s="9" t="str">
        <x:v>изучение</x:v>
      </x:c>
      <x:c r="E295" s="9" t="str">
        <x:v>Правило обнаружения с проверенным положительным случаем</x:v>
      </x:c>
      <x:c r="F295" s="9" t="str">
        <x:v>Разобрать: Условие правила; доступные поля; marker event; обычный контроль.</x:v>
      </x:c>
      <x:c r="G295" s="9" t="str">
        <x:v>Сформулируй одно правило для своего события и проверь известный положительный и нормальный отрицательный случаи. Если поля отсутствуют, сначала восстанови данные.</x:v>
      </x:c>
      <x:c r="H295" s="9" t="str">
        <x:v>modern_lab.py events, Python</x:v>
      </x:c>
      <x:c r="I295" s="9" t="str">
        <x:v>RU38 Yandex Cloud Сбор и анализ аудитных логов — События; доставка; анализ
https://yandex.cloud/ru/docs/security/standard/audit-logs
RU25 Скотт Чакон Бен Штрауб Pro Git — Воспроизводимость результата по истории
https://git-scm.com/book/ru/v2</x:v>
      </x:c>
      <x:c r="J295" s="9" t="str">
        <x:v>Подтверждён предыдущий механизм; действуют условия темы и разрешённой лаборатории.</x:v>
      </x:c>
      <x:c r="K295" s="9" t="str">
        <x:v>Какое событие обязано вызвать результат при исправном правиле?</x:v>
      </x:c>
      <x:c r="L295" s="9" t="str">
        <x:v>Условие правила и два фактических исхода</x:v>
      </x:c>
      <x:c r="M295" s="12"/>
      <x:c r="N295" s="12"/>
      <x:c r="O295" s="12"/>
      <x:c r="P295" s="14"/>
      <x:c r="Q295" s="9" t="str">
        <x:v>RU38 RU25
Вместо блока, один вариант: KA06; карточки в документе 12.</x:v>
      </x:c>
      <x:c r="R295" s="10" t="d">
        <x:v>2027-07-23T00:00:00.000Z</x:v>
      </x:c>
      <x:c r="S295" s="10" t="d">
        <x:v>2027-07-29T00:00:00.000Z</x:v>
      </x:c>
      <x:c r="T295" s="10"/>
    </x:row>
    <x:row r="296" ht="76" hidden="0" customHeight="1">
      <x:c r="A296" s="10" t="d">
        <x:v>2027-07-23T00:00:00.000Z</x:v>
      </x:c>
      <x:c r="B296" s="9" t="str">
        <x:v>пт</x:v>
      </x:c>
      <x:c r="C296" s="9" t="n">
        <x:v>47</x:v>
      </x:c>
      <x:c r="D296" s="9" t="str">
        <x:v>изучение</x:v>
      </x:c>
      <x:c r="E296" s="9" t="str">
        <x:v>Повторная проверка защиты и качества обнаружения</x:v>
      </x:c>
      <x:c r="F296" s="9" t="str">
        <x:v>Разобрать: Исходный случай; исправление; рабочий источник; обычная функция.</x:v>
      </x:c>
      <x:c r="G296" s="9" t="str">
        <x:v>Повтори свой marker после выбранного исправления. Проверь и состояние объекта, и запись события. Убедись, что обычная разрешённая операция продолжает работать.</x:v>
      </x:c>
      <x:c r="H296" s="9" t="str">
        <x:v>Своя lab, локальные events</x:v>
      </x:c>
      <x:c r="I296" s="9" t="str">
        <x:v>RU38 Yandex Cloud Сбор и анализ аудитных логов — События; доставка; анализ
https://yandex.cloud/ru/docs/security/standard/audit-logs
RU25 Скотт Чакон Бен Штрауб Pro Git — Воспроизводимость результата по истории
https://git-scm.com/book/ru/v2</x:v>
      </x:c>
      <x:c r="J296" s="9" t="str">
        <x:v>Подтверждён предыдущий механизм; действуют условия темы и разрешённой лаборатории.</x:v>
      </x:c>
      <x:c r="K296" s="9" t="str">
        <x:v>Почему исчезнувший alert сам по себе не подтверждает исправление?</x:v>
      </x:c>
      <x:c r="L296" s="9" t="str">
        <x:v>Сравнение состояния и телеметрии до и после</x:v>
      </x:c>
      <x:c r="M296" s="12"/>
      <x:c r="N296" s="12"/>
      <x:c r="O296" s="12"/>
      <x:c r="P296" s="14"/>
      <x:c r="Q296" s="9" t="str">
        <x:v>RU38 RU25
Вместо блока, один вариант: KA06; карточки в документе 12.</x:v>
      </x:c>
      <x:c r="R296" s="10" t="d">
        <x:v>2027-07-24T00:00:00.000Z</x:v>
      </x:c>
      <x:c r="S296" s="10" t="d">
        <x:v>2027-07-30T00:00:00.000Z</x:v>
      </x:c>
      <x:c r="T296" s="10"/>
    </x:row>
    <x:row r="297" ht="76" hidden="0" customHeight="1">
      <x:c r="A297" s="10" t="d">
        <x:v>2027-07-24T00:00:00.000Z</x:v>
      </x:c>
      <x:c r="B297" s="9" t="str">
        <x:v>сб</x:v>
      </x:c>
      <x:c r="C297" s="9" t="n">
        <x:v>47</x:v>
      </x:c>
      <x:c r="D297" s="9" t="str">
        <x:v>закрепление</x:v>
      </x:c>
      <x:c r="E297" s="9" t="str">
        <x:v>Матрица качества одного правила обнаружения</x:v>
      </x:c>
      <x:c r="F297" s="9" t="str">
        <x:v>Повторить: True positive; true negative; false positive; false negative.</x:v>
      </x:c>
      <x:c r="G297" s="9" t="str">
        <x:v>По готовым fixtures разложи четыре случая в матрицу. Исправь одну ошибочную предпосылку правила и повтори тот же набор. Новое правило сегодня не добавляй.</x:v>
      </x:c>
      <x:c r="H297" s="9" t="str">
        <x:v>Собственные fixtures</x:v>
      </x:c>
      <x:c r="I297" s="9" t="str">
        <x:v>RU38 Yandex Cloud Сбор и анализ аудитных логов — События; доставка; анализ
https://yandex.cloud/ru/docs/security/standard/audit-logs
RU25 Скотт Чакон Бен Штрауб Pro Git — Воспроизводимость результата по истории
https://git-scm.com/book/ru/v2</x:v>
      </x:c>
      <x:c r="J297" s="9" t="str">
        <x:v>Подтверждён предыдущий механизм; действуют условия темы и разрешённой лаборатории.</x:v>
      </x:c>
      <x:c r="K297" s="9" t="str">
        <x:v>Какой ложный вывод мог получиться из неполного источника событий?</x:v>
      </x:c>
      <x:c r="L297" s="9" t="str">
        <x:v>Матрица четырёх случаев с ограничениями</x:v>
      </x:c>
      <x:c r="M297" s="12"/>
      <x:c r="N297" s="12"/>
      <x:c r="O297" s="12"/>
      <x:c r="P297" s="14"/>
      <x:c r="Q297" s="9" t="str">
        <x:v>RU38 RU25
Вместо блока, один вариант: KA06; карточки в документе 12.</x:v>
      </x:c>
      <x:c r="R297" s="10" t="d">
        <x:v>2027-07-25T00:00:00.000Z</x:v>
      </x:c>
      <x:c r="S297" s="10"/>
      <x:c r="T297" s="10"/>
    </x:row>
    <x:row r="298" ht="28" hidden="0" customHeight="1">
      <x:c r="A298" s="10" t="d">
        <x:v>2027-07-25T00:00:00.000Z</x:v>
      </x:c>
      <x:c r="B298" s="9" t="str">
        <x:v>вс</x:v>
      </x:c>
      <x:c r="C298" s="9" t="n">
        <x:v>47</x:v>
      </x:c>
      <x:c r="D298" s="9" t="str">
        <x:v>повторение</x:v>
      </x:c>
      <x:c r="E298" s="9" t="str">
        <x:v>Повторение Матрица качества одного правила обнаружения</x:v>
      </x:c>
      <x:c r="F298" s="9" t="str">
        <x:v>Вспомнить True positive и объяснить один отрицательный контроль по готовой заметке.</x:v>
      </x:c>
      <x:c r="G298" s="9" t="str">
        <x:v>Сверить ответ с собственной записью. Новую лабораторию не открывать.</x:v>
      </x:c>
      <x:c r="H298" s="9" t="str">
        <x:v>Своя lab или подготовленные events</x:v>
      </x:c>
      <x:c r="I298" s="9" t="str">
        <x:v>Своя готовая заметка по теме; нового чтения нет</x:v>
      </x:c>
      <x:c r="J298" s="9" t="str">
        <x:v>Подтверждён предыдущий механизм; действуют условия темы и разрешённой лаборатории.</x:v>
      </x:c>
      <x:c r="K298" s="9" t="str">
        <x:v>Какой факт недели лучше всего подтверждает освоенный механизм?</x:v>
      </x:c>
      <x:c r="L298" s="9" t="str">
        <x:v>Карточка памяти по готовой заметке</x:v>
      </x:c>
      <x:c r="M298" s="12"/>
      <x:c r="N298" s="12"/>
      <x:c r="O298" s="12"/>
      <x:c r="P298" s="14"/>
      <x:c r="Q298" s="9" t="str">
        <x:v>своя заметка</x:v>
      </x:c>
      <x:c r="R298" s="10" t="d">
        <x:v>2027-07-26T00:00:00.000Z</x:v>
      </x:c>
      <x:c r="S298" s="10"/>
      <x:c r="T298" s="10"/>
    </x:row>
    <x:row r="299" ht="76" hidden="0" customHeight="1">
      <x:c r="A299" s="10" t="d">
        <x:v>2027-07-26T00:00:00.000Z</x:v>
      </x:c>
      <x:c r="B299" s="9" t="str">
        <x:v>пн</x:v>
      </x:c>
      <x:c r="C299" s="9" t="n">
        <x:v>48</x:v>
      </x:c>
      <x:c r="D299" s="9" t="str">
        <x:v>изучение</x:v>
      </x:c>
      <x:c r="E299" s="9" t="str">
        <x:v>Покрытие областей обучения своими артефактами</x:v>
      </x:c>
      <x:c r="F299" s="9" t="str">
        <x:v>Разобрать: Evidence по основам, web, инфраструктуре и binary analysis; соответствие заявленному умению.</x:v>
      </x:c>
      <x:c r="G299" s="9" t="str">
        <x:v>Выбери по одному готовому artifact на каждую освоенную область. Запиши механизм, контроль и доступный файл.</x:v>
      </x:c>
      <x:c r="H299" s="9" t="str">
        <x:v>Индекс собственного портфолио</x:v>
      </x:c>
      <x:c r="I299" s="9" t="str">
        <x:v>RU25 Скотт Чакон Бен Штрауб Pro Git — Глава 2: история и воспроизводимый артефакт
https://git-scm.com/book/ru/v2
RU05 OWASP ASVS 5.0.0 русский перевод — Сопоставление результата с требованием
https://github.com/OWASP/ASVS</x:v>
      </x:c>
      <x:c r="J299" s="9" t="str">
        <x:v>Подтверждён предыдущий механизм; действуют условия темы и разрешённой лаборатории.</x:v>
      </x:c>
      <x:c r="K299" s="9" t="str">
        <x:v>Какая область не имеет собственного воспроизводимого evidence?</x:v>
      </x:c>
      <x:c r="L299" s="9" t="str">
        <x:v>2027-07-26_note.md: вход, ожидание, факт, вывод, контроль</x:v>
      </x:c>
      <x:c r="M299" s="12"/>
      <x:c r="N299" s="12"/>
      <x:c r="O299" s="12"/>
      <x:c r="P299" s="14"/>
      <x:c r="Q299" s="9" t="str">
        <x:v>RU25 RU05</x:v>
      </x:c>
      <x:c r="R299" s="10" t="d">
        <x:v>2027-07-27T00:00:00.000Z</x:v>
      </x:c>
      <x:c r="S299" s="10"/>
      <x:c r="T299" s="10"/>
    </x:row>
    <x:row r="300" ht="76" hidden="0" customHeight="1">
      <x:c r="A300" s="10" t="d">
        <x:v>2027-07-27T00:00:00.000Z</x:v>
      </x:c>
      <x:c r="B300" s="9" t="str">
        <x:v>вт</x:v>
      </x:c>
      <x:c r="C300" s="9" t="n">
        <x:v>48</x:v>
      </x:c>
      <x:c r="D300" s="9" t="str">
        <x:v>изучение</x:v>
      </x:c>
      <x:c r="E300" s="9" t="str">
        <x:v>Короткое воспроизведение одной готовой заметки</x:v>
      </x:c>
      <x:c r="F300" s="9" t="str">
        <x:v>Разобрать: Прежний вход; среда; зависимости; подтверждение результата без расширения задачи.</x:v>
      </x:c>
      <x:c r="G300" s="9" t="str">
        <x:v>Повтори один небольшой завершённый шаг по README. Запиши необходимые входы и фактический результат.</x:v>
      </x:c>
      <x:c r="H300" s="9" t="str">
        <x:v>Индекс собственного портфолио</x:v>
      </x:c>
      <x:c r="I300" s="9" t="str">
        <x:v>RU25 Скотт Чакон Бен Штрауб Pro Git — Глава 2: история и воспроизводимый артефакт
https://git-scm.com/book/ru/v2
RU05 OWASP ASVS 5.0.0 русский перевод — Сопоставление результата с требованием
https://github.com/OWASP/ASVS</x:v>
      </x:c>
      <x:c r="J300" s="9" t="str">
        <x:v>Подтверждён предыдущий механизм; действуют условия темы и разрешённой лаборатории.</x:v>
      </x:c>
      <x:c r="K300" s="9" t="str">
        <x:v>Можно ли повторить его без доступа к прежнему сеансу?</x:v>
      </x:c>
      <x:c r="L300" s="9" t="str">
        <x:v>2027-07-27_note.md: вход, ожидание, факт, вывод, контроль</x:v>
      </x:c>
      <x:c r="M300" s="12"/>
      <x:c r="N300" s="12"/>
      <x:c r="O300" s="12"/>
      <x:c r="P300" s="14"/>
      <x:c r="Q300" s="9" t="str">
        <x:v>RU25 RU05</x:v>
      </x:c>
      <x:c r="R300" s="10" t="d">
        <x:v>2027-07-28T00:00:00.000Z</x:v>
      </x:c>
      <x:c r="S300" s="10"/>
      <x:c r="T300" s="10"/>
    </x:row>
    <x:row r="301" ht="76" hidden="0" customHeight="1">
      <x:c r="A301" s="10" t="d">
        <x:v>2027-07-28T00:00:00.000Z</x:v>
      </x:c>
      <x:c r="B301" s="9" t="str">
        <x:v>ср</x:v>
      </x:c>
      <x:c r="C301" s="9" t="n">
        <x:v>48</x:v>
      </x:c>
      <x:c r="D301" s="9" t="str">
        <x:v>изучение</x:v>
      </x:c>
      <x:c r="E301" s="9" t="str">
        <x:v>README портфолио и доказательство собственного вклада</x:v>
      </x:c>
      <x:c r="F301" s="9" t="str">
        <x:v>Разобрать: Цель; вход; версии; вывод; собственное наблюдение; использованные подсказки.</x:v>
      </x:c>
      <x:c r="G301" s="9" t="str">
        <x:v>Обнови индекс проекта и рабочие ссылки. Для одной записи отдели собственное наблюдение от справочного примера и помощи AI. Тяжёлые lab повторно не запускать.</x:v>
      </x:c>
      <x:c r="H301" s="9" t="str">
        <x:v>Индекс собственного портфолио</x:v>
      </x:c>
      <x:c r="I301" s="9" t="str">
        <x:v>RU25 Скотт Чакон Бен Штрауб Pro Git — Глава 2: история и изменения
https://git-scm.com/book/ru/v2
RU05 OWASP ASVS 5.0.0 русский перевод — Проверяемый результат по требованию
https://github.com/OWASP/ASVS</x:v>
      </x:c>
      <x:c r="J301" s="9" t="str">
        <x:v>Подтверждён предыдущий механизм; действуют условия темы и разрешённой лаборатории.</x:v>
      </x:c>
      <x:c r="K301" s="9" t="str">
        <x:v>Какая формулировка результата пока превышает имеющееся доказательство?</x:v>
      </x:c>
      <x:c r="L301" s="9" t="str">
        <x:v>README с проверенными ссылками и границами результата</x:v>
      </x:c>
      <x:c r="M301" s="12"/>
      <x:c r="N301" s="12"/>
      <x:c r="O301" s="12"/>
      <x:c r="P301" s="14"/>
      <x:c r="Q301" s="9" t="str">
        <x:v>RU25 RU05</x:v>
      </x:c>
      <x:c r="R301" s="10" t="d">
        <x:v>2027-07-29T00:00:00.000Z</x:v>
      </x:c>
      <x:c r="S301" s="10"/>
      <x:c r="T301" s="10"/>
    </x:row>
    <x:row r="302" ht="76" hidden="0" customHeight="1">
      <x:c r="A302" s="10" t="d">
        <x:v>2027-07-29T00:00:00.000Z</x:v>
      </x:c>
      <x:c r="B302" s="9" t="str">
        <x:v>чт</x:v>
      </x:c>
      <x:c r="C302" s="9" t="n">
        <x:v>48</x:v>
      </x:c>
      <x:c r="D302" s="9" t="str">
        <x:v>изучение</x:v>
      </x:c>
      <x:c r="E302" s="9" t="str">
        <x:v>Карта подтверждённых умений и оставшихся пробелов</x:v>
      </x:c>
      <x:c r="F302" s="9" t="str">
        <x:v>Разобрать: Готовое evidence; открытый вопрос; конкретное следующее действие в будущий цикл.</x:v>
      </x:c>
      <x:c r="G302" s="9" t="str">
        <x:v>Отметь реальные пробелы и один будущий шаг после восстановления. Не назначай новое чтение или lab.</x:v>
      </x:c>
      <x:c r="H302" s="9" t="str">
        <x:v>Индекс собственного портфолио</x:v>
      </x:c>
      <x:c r="I302" s="9" t="str">
        <x:v>RU25 Скотт Чакон Бен Штрауб Pro Git — Глава 2: история и воспроизводимый артефакт
https://git-scm.com/book/ru/v2
RU05 OWASP ASVS 5.0.0 русский перевод — Сопоставление результата с требованием
https://github.com/OWASP/ASVS</x:v>
      </x:c>
      <x:c r="J302" s="9" t="str">
        <x:v>Подтверждён предыдущий механизм; действуют условия темы и разрешённой лаборатории.</x:v>
      </x:c>
      <x:c r="K302" s="9" t="str">
        <x:v>Какой пробел остаётся конкретным действием на следующий цикл?</x:v>
      </x:c>
      <x:c r="L302" s="9" t="str">
        <x:v>2027-07-29_note.md: вход, ожидание, факт, вывод, контроль</x:v>
      </x:c>
      <x:c r="M302" s="12"/>
      <x:c r="N302" s="12"/>
      <x:c r="O302" s="12"/>
      <x:c r="P302" s="14"/>
      <x:c r="Q302" s="9" t="str">
        <x:v>RU25 RU05</x:v>
      </x:c>
      <x:c r="R302" s="10" t="d">
        <x:v>2027-07-30T00:00:00.000Z</x:v>
      </x:c>
      <x:c r="S302" s="10"/>
      <x:c r="T302" s="10"/>
    </x:row>
    <x:row r="303" ht="76" hidden="0" customHeight="1">
      <x:c r="A303" s="10" t="d">
        <x:v>2027-07-30T00:00:00.000Z</x:v>
      </x:c>
      <x:c r="B303" s="9" t="str">
        <x:v>пт</x:v>
      </x:c>
      <x:c r="C303" s="9" t="n">
        <x:v>48</x:v>
      </x:c>
      <x:c r="D303" s="9" t="str">
        <x:v>изучение</x:v>
      </x:c>
      <x:c r="E303" s="9" t="str">
        <x:v>Сохранение данных и завершение тяжёлых лабораторий</x:v>
      </x:c>
      <x:c r="F303" s="9" t="str">
        <x:v>Разобрать: Последние входы; финальные заметки; остановка lab-процессов; сохранённое состояние.</x:v>
      </x:c>
      <x:c r="G303" s="9" t="str">
        <x:v>Если блок назначен, сохрани финальные заметки и закрой lab-процессы. Остальное время оставь для восстановления.</x:v>
      </x:c>
      <x:c r="H303" s="9" t="str">
        <x:v>Индекс собственного портфолио</x:v>
      </x:c>
      <x:c r="I303" s="9" t="str">
        <x:v>RU25 Скотт Чакон Бен Штрауб Pro Git — Глава 2: история и воспроизводимый артефакт
https://git-scm.com/book/ru/v2
RU05 OWASP ASVS 5.0.0 русский перевод — Сопоставление результата с требованием
https://github.com/OWASP/ASVS</x:v>
      </x:c>
      <x:c r="J303" s="9" t="str">
        <x:v>Подтверждён предыдущий механизм; действуют условия темы и разрешённой лаборатории.</x:v>
      </x:c>
      <x:c r="K303" s="9" t="str">
        <x:v>Сохранены ли входы, версии и результаты последних работ?</x:v>
      </x:c>
      <x:c r="L303" s="9" t="str">
        <x:v>2027-07-30_note.md: вход, ожидание, факт, вывод, контроль</x:v>
      </x:c>
      <x:c r="M303" s="12"/>
      <x:c r="N303" s="12"/>
      <x:c r="O303" s="12"/>
      <x:c r="P303" s="14"/>
      <x:c r="Q303" s="9" t="str">
        <x:v>RU25 RU05</x:v>
      </x:c>
      <x:c r="R303" s="10"/>
      <x:c r="S303" s="10"/>
      <x:c r="T303" s="10"/>
    </x:row>
    <x:row r="304" ht="19" hidden="0" customHeight="1">
      <x:c r="A304" s="10" t="d">
        <x:v>2027-07-31T00:00:00.000Z</x:v>
      </x:c>
      <x:c r="B304" s="9" t="str">
        <x:v>сб</x:v>
      </x:c>
      <x:c r="C304" s="9" t="n">
        <x:v>48</x:v>
      </x:c>
      <x:c r="D304" s="9" t="str">
        <x:v>пауза</x:v>
      </x:c>
      <x:c r="E304" s="9" t="str">
        <x:v>Учебная пауза и восстановление</x:v>
      </x:c>
      <x:c r="F304" s="9" t="str">
        <x:v>Новых учебных задач нет.</x:v>
      </x:c>
      <x:c r="G304" s="9" t="str">
        <x:v>Практика не назначена</x:v>
      </x:c>
      <x:c r="H304" s="9" t="str">
        <x:v>Не требуется</x:v>
      </x:c>
      <x:c r="I304" s="9" t="str">
        <x:v>Чтение не назначено</x:v>
      </x:c>
      <x:c r="J304" s="9" t="str">
        <x:v>Учебная пауза; допуск и практику сегодня не проверять.</x:v>
      </x:c>
      <x:c r="K304" s="9" t="str">
        <x:v>Учебного зачёта сегодня нет.</x:v>
      </x:c>
      <x:c r="L304" s="9" t="str">
        <x:v>Учебного артефакта нет</x:v>
      </x:c>
      <x:c r="M304" s="12"/>
      <x:c r="N304" s="12"/>
      <x:c r="O304" s="12"/>
      <x:c r="P304" s="14"/>
      <x:c r="Q304" s="9" t="str">
        <x:v>пауза</x:v>
      </x:c>
      <x:c r="R304" s="10"/>
      <x:c r="S304" s="10"/>
      <x:c r="T304" s="10"/>
    </x:row>
    <x:row r="305" ht="19" hidden="0" customHeight="1">
      <x:c r="A305" s="10" t="d">
        <x:v>2027-08-01T00:00:00.000Z</x:v>
      </x:c>
      <x:c r="B305" s="9" t="str">
        <x:v>вс</x:v>
      </x:c>
      <x:c r="C305" s="9" t="n">
        <x:v>48</x:v>
      </x:c>
      <x:c r="D305" s="9" t="str">
        <x:v>пауза</x:v>
      </x:c>
      <x:c r="E305" s="9" t="str">
        <x:v>Учебная пауза и восстановление</x:v>
      </x:c>
      <x:c r="F305" s="9" t="str">
        <x:v>Новых учебных задач нет.</x:v>
      </x:c>
      <x:c r="G305" s="9" t="str">
        <x:v>Практика не назначена</x:v>
      </x:c>
      <x:c r="H305" s="9" t="str">
        <x:v>Не требуется</x:v>
      </x:c>
      <x:c r="I305" s="9" t="str">
        <x:v>Чтение не назначено</x:v>
      </x:c>
      <x:c r="J305" s="9" t="str">
        <x:v>Учебная пауза; допуск и практику сегодня не проверять.</x:v>
      </x:c>
      <x:c r="K305" s="9" t="str">
        <x:v>Учебного зачёта сегодня нет.</x:v>
      </x:c>
      <x:c r="L305" s="9" t="str">
        <x:v>Учебного артефакта нет</x:v>
      </x:c>
      <x:c r="M305" s="12"/>
      <x:c r="N305" s="12"/>
      <x:c r="O305" s="12"/>
      <x:c r="P305" s="14"/>
      <x:c r="Q305" s="9" t="str">
        <x:v>пауза</x:v>
      </x:c>
      <x:c r="R305" s="10"/>
      <x:c r="S305" s="10"/>
      <x:c r="T305" s="10"/>
    </x:row>
    <x:row r="306" ht="19" hidden="0" customHeight="1">
      <x:c r="A306" s="10" t="d">
        <x:v>2027-08-02T00:00:00.000Z</x:v>
      </x:c>
      <x:c r="B306" s="9" t="str">
        <x:v>пн</x:v>
      </x:c>
      <x:c r="C306" s="9" t="n">
        <x:v>49</x:v>
      </x:c>
      <x:c r="D306" s="9" t="str">
        <x:v>пауза</x:v>
      </x:c>
      <x:c r="E306" s="9" t="str">
        <x:v>Учебная пауза и восстановление</x:v>
      </x:c>
      <x:c r="F306" s="9" t="str">
        <x:v>Новых учебных задач нет.</x:v>
      </x:c>
      <x:c r="G306" s="9" t="str">
        <x:v>Практика не назначена</x:v>
      </x:c>
      <x:c r="H306" s="9" t="str">
        <x:v>Не требуется</x:v>
      </x:c>
      <x:c r="I306" s="9" t="str">
        <x:v>Чтение не назначено</x:v>
      </x:c>
      <x:c r="J306" s="9" t="str">
        <x:v>Учебная пауза; допуск и практику сегодня не проверять.</x:v>
      </x:c>
      <x:c r="K306" s="9" t="str">
        <x:v>Учебного зачёта сегодня нет.</x:v>
      </x:c>
      <x:c r="L306" s="9" t="str">
        <x:v>Учебного артефакта нет</x:v>
      </x:c>
      <x:c r="M306" s="12"/>
      <x:c r="N306" s="12"/>
      <x:c r="O306" s="12"/>
      <x:c r="P306" s="14"/>
      <x:c r="Q306" s="9" t="str">
        <x:v>пауза</x:v>
      </x:c>
      <x:c r="R306" s="10"/>
      <x:c r="S306" s="10"/>
      <x:c r="T306" s="10"/>
    </x:row>
    <x:row r="307" ht="19" hidden="0" customHeight="1">
      <x:c r="A307" s="10" t="d">
        <x:v>2027-08-03T00:00:00.000Z</x:v>
      </x:c>
      <x:c r="B307" s="9" t="str">
        <x:v>вт</x:v>
      </x:c>
      <x:c r="C307" s="9" t="n">
        <x:v>49</x:v>
      </x:c>
      <x:c r="D307" s="9" t="str">
        <x:v>пауза</x:v>
      </x:c>
      <x:c r="E307" s="9" t="str">
        <x:v>Учебная пауза и восстановление</x:v>
      </x:c>
      <x:c r="F307" s="9" t="str">
        <x:v>Новых учебных задач нет.</x:v>
      </x:c>
      <x:c r="G307" s="9" t="str">
        <x:v>Практика не назначена</x:v>
      </x:c>
      <x:c r="H307" s="9" t="str">
        <x:v>Не требуется</x:v>
      </x:c>
      <x:c r="I307" s="9" t="str">
        <x:v>Чтение не назначено</x:v>
      </x:c>
      <x:c r="J307" s="9" t="str">
        <x:v>Учебная пауза; допуск и практику сегодня не проверять.</x:v>
      </x:c>
      <x:c r="K307" s="9" t="str">
        <x:v>Учебного зачёта сегодня нет.</x:v>
      </x:c>
      <x:c r="L307" s="9" t="str">
        <x:v>Учебного артефакта нет</x:v>
      </x:c>
      <x:c r="M307" s="12"/>
      <x:c r="N307" s="12"/>
      <x:c r="O307" s="12"/>
      <x:c r="P307" s="14"/>
      <x:c r="Q307" s="9" t="str">
        <x:v>пауза</x:v>
      </x:c>
      <x:c r="R307" s="10"/>
      <x:c r="S307" s="10"/>
      <x:c r="T307" s="10"/>
    </x:row>
  </x:sheetData>
  <x:dataValidations count="1">
    <x:dataValidation type="list" sqref="M5:M307">
      <x:formula1>"выполнено,частично,перенос,отмена"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226eed3f045846b0"/>
  </x:tableParts>
</x:worksheet>
</file>

<file path=xl/worksheets/sheet4.xml><?xml version="1.0" encoding="utf-8"?>
<x:worksheet xmlns:x="http://schemas.openxmlformats.org/spreadsheetml/2006/main">
  <x:sheetViews>
    <x:sheetView showGridLines="0" workbookViewId="0">
      <x:pane xSplit="1" ySplit="4" topLeftCell="B5" activePane="bottomRight" state="frozen"/>
    </x:sheetView>
  </x:sheetViews>
  <x:sheetFormatPr defaultRowHeight="15"/>
  <x:cols>
    <x:col min="1" max="1" width="14" hidden="0" customWidth="1"/>
    <x:col min="2" max="2" width="12" hidden="0" customWidth="1"/>
    <x:col min="3" max="3" width="20" hidden="0" customWidth="1"/>
    <x:col min="4" max="4" width="16" hidden="0" customWidth="1"/>
    <x:col min="5" max="5" width="17" hidden="0" customWidth="1"/>
    <x:col min="6" max="6" width="15" hidden="0" customWidth="1"/>
    <x:col min="7" max="7" width="19" hidden="0" customWidth="1"/>
    <x:col min="8" max="8" width="65" hidden="0" customWidth="1"/>
  </x:cols>
  <x:sheetData>
    <x:row r="1">
      <x:c r="A1" s="1"/>
      <x:c r="B1" s="1"/>
      <x:c r="C1" s="1"/>
      <x:c r="D1" s="1"/>
      <x:c r="E1" s="1"/>
      <x:c r="F1" s="1"/>
      <x:c r="G1" s="1"/>
      <x:c r="H1" s="1"/>
    </x:row>
    <x:row r="2">
      <x:c r="A2" s="2" t="str">
        <x:v>Подтверждённые исторические пробежки</x:v>
      </x:c>
      <x:c r="B2" s="1"/>
      <x:c r="C2" s="1"/>
      <x:c r="D2" s="1"/>
      <x:c r="E2" s="1"/>
      <x:c r="F2" s="1"/>
      <x:c r="G2" s="1"/>
      <x:c r="H2" s="1"/>
    </x:row>
    <x:row r="3">
      <x:c r="A3" s="1"/>
      <x:c r="B3" s="1"/>
      <x:c r="C3" s="1"/>
      <x:c r="D3" s="1"/>
      <x:c r="E3" s="1"/>
      <x:c r="F3" s="1"/>
      <x:c r="G3" s="1"/>
      <x:c r="H3" s="1"/>
    </x:row>
    <x:row r="4" ht="42" customHeight="1">
      <x:c r="A4" s="7" t="str">
        <x:v>Дата сессии</x:v>
      </x:c>
      <x:c r="B4" s="7" t="str">
        <x:v>Км</x:v>
      </x:c>
      <x:c r="C4" s="7" t="str">
        <x:v>Длительность факт мин</x:v>
      </x:c>
      <x:c r="D4" s="7" t="str">
        <x:v>ЧСС средняя</x:v>
      </x:c>
      <x:c r="E4" s="7" t="str">
        <x:v>ЧСС максимум</x:v>
      </x:c>
      <x:c r="F4" s="7" t="str">
        <x:v>Темп факт</x:v>
      </x:c>
      <x:c r="G4" s="7" t="str">
        <x:v>Сумма недели км</x:v>
      </x:c>
      <x:c r="H4" s="7" t="str">
        <x:v>Источник</x:v>
      </x:c>
    </x:row>
    <x:row r="5" ht="52" customHeight="1">
      <x:c r="A5" s="10" t="n">
        <x:v>46292</x:v>
      </x:c>
      <x:c r="B5" s="15" t="n">
        <x:v>35.41</x:v>
      </x:c>
      <x:c r="C5" s="15" t="n">
        <x:v>255.1</x:v>
      </x:c>
      <x:c r="D5" s="16" t="n">
        <x:v>152</x:v>
      </x:c>
      <x:c r="E5" s="16"/>
      <x:c r="F5" s="9" t="str">
        <x:v>7:12</x:v>
      </x:c>
      <x:c r="G5" s="9"/>
      <x:c r="H5" s="9" t="str">
        <x:v>Скриншот Mi Fitness; одна отдельная сессия</x:v>
      </x:c>
    </x:row>
    <x:row r="6" ht="52" customHeight="1">
      <x:c r="A6" s="10" t="n">
        <x:v>46299</x:v>
      </x:c>
      <x:c r="B6" s="15" t="n">
        <x:v>30.8</x:v>
      </x:c>
      <x:c r="C6" s="15" t="n">
        <x:v>211.1833</x:v>
      </x:c>
      <x:c r="D6" s="16" t="n">
        <x:v>156</x:v>
      </x:c>
      <x:c r="E6" s="16" t="n">
        <x:v>183</x:v>
      </x:c>
      <x:c r="F6" s="9" t="str">
        <x:v>6:51</x:v>
      </x:c>
      <x:c r="G6" s="9"/>
      <x:c r="H6" s="9" t="str">
        <x:v>Скриншот Mi Fitness; одна отдельная сессия</x:v>
      </x:c>
    </x:row>
    <x:row r="9" ht="22" customHeight="1">
      <x:c r="A9" s="19" t="str">
        <x:v>Полные суммы неизвестны: кроме воскресений были будние пробежки; сообщён диапазон до 50 км/нед.</x:v>
      </x:c>
      <x:c r="B9" s="19"/>
      <x:c r="C9" s="19"/>
      <x:c r="D9" s="19"/>
      <x:c r="E9" s="19"/>
      <x:c r="F9" s="19"/>
      <x:c r="G9" s="19"/>
      <x:c r="H9" s="19"/>
    </x:row>
    <x:row r="10" ht="22" customHeight="1">
      <x:c r="A10" s="19"/>
      <x:c r="B10" s="19"/>
      <x:c r="C10" s="19"/>
      <x:c r="D10" s="19"/>
      <x:c r="E10" s="19"/>
      <x:c r="F10" s="19"/>
      <x:c r="G10" s="19"/>
      <x:c r="H10" s="19"/>
    </x:row>
    <x:row r="11" ht="22" customHeight="1">
      <x:c r="A11" s="19" t="str">
        <x:v>4 октября показан дважды на снимках, в таблице он учтён один раз. Реакция 5 октября ещё не оценена.</x:v>
      </x:c>
      <x:c r="B11" s="19"/>
      <x:c r="C11" s="19"/>
      <x:c r="D11" s="19"/>
      <x:c r="E11" s="19"/>
      <x:c r="F11" s="19"/>
      <x:c r="G11" s="19"/>
      <x:c r="H11" s="19"/>
    </x:row>
    <x:row r="12" ht="22" customHeight="1">
      <x:c r="A12" s="19"/>
      <x:c r="B12" s="19"/>
      <x:c r="C12" s="19"/>
      <x:c r="D12" s="19"/>
      <x:c r="E12" s="19"/>
      <x:c r="F12" s="19"/>
      <x:c r="G12" s="19"/>
      <x:c r="H12" s="19"/>
    </x:row>
    <x:row r="13" ht="22" customHeight="1">
      <x:c r="A13" s="19" t="str">
        <x:v>Жёлтые поля в дневных листах — ввод факта. План содержит задачи без назначенных часов и учебных минут. Исторические показатели здесь сохранены как исходные данные.</x:v>
      </x:c>
      <x:c r="B13" s="19"/>
      <x:c r="C13" s="19"/>
      <x:c r="D13" s="19"/>
      <x:c r="E13" s="19"/>
      <x:c r="F13" s="19"/>
      <x:c r="G13" s="19"/>
      <x:c r="H13" s="19"/>
    </x:row>
    <x:row r="14" ht="22" customHeight="1">
      <x:c r="A14" s="19"/>
      <x:c r="B14" s="19"/>
      <x:c r="C14" s="19"/>
      <x:c r="D14" s="19"/>
      <x:c r="E14" s="19"/>
      <x:c r="F14" s="19"/>
      <x:c r="G14" s="19"/>
      <x:c r="H14" s="19"/>
    </x:row>
    <x:row r="15" ht="22" customHeight="1">
      <x:c r="A15" s="19" t="str">
        <x:v>По среднему пульсу и зарегистрированному максимуму личные зоны не назначаются.</x:v>
      </x:c>
      <x:c r="B15" s="19"/>
      <x:c r="C15" s="19"/>
      <x:c r="D15" s="19"/>
      <x:c r="E15" s="19"/>
      <x:c r="F15" s="19"/>
      <x:c r="G15" s="19"/>
      <x:c r="H15" s="19"/>
    </x:row>
    <x:row r="16" ht="22" customHeight="1">
      <x:c r="A16" s="19"/>
      <x:c r="B16" s="19"/>
      <x:c r="C16" s="19"/>
      <x:c r="D16" s="19"/>
      <x:c r="E16" s="19"/>
      <x:c r="F16" s="19"/>
      <x:c r="G16" s="19"/>
      <x:c r="H16" s="19"/>
    </x:row>
  </x:sheetData>
  <x:mergeCells>
    <x:mergeCell ref="A9:H10"/>
    <x:mergeCell ref="A11:H12"/>
    <x:mergeCell ref="A13:H14"/>
    <x:mergeCell ref="A15:H16"/>
  </x:mergeCells>
  <x:pageMargins left="0.7" right="0.7" top="0.75" bottom="0.75" header="0.3" footer="0.3"/>
  <x:tableParts count="1">
    <x:tablePart xmlns:r="http://schemas.openxmlformats.org/officeDocument/2006/relationships" r:id="Re16ca8f517b14808"/>
  </x:tableParts>
</x:worksheet>
</file>